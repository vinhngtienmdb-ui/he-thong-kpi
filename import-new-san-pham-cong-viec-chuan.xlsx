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5923EF7A-DC32-4B00-8514-849540214386}" xr6:coauthVersionLast="47" xr6:coauthVersionMax="47" xr10:uidLastSave="{00000000-0000-0000-0000-000000000000}"/>
  <bookViews>
    <workbookView xWindow="-120" yWindow="-120" windowWidth="29040" windowHeight="15720" xr2:uid="{00000000-000D-0000-FFFF-FFFF00000000}"/>
  </bookViews>
  <sheets>
    <sheet name="01. Mẫu import" sheetId="1" r:id="rId1"/>
    <sheet name="KQDR" sheetId="6" r:id="rId2"/>
    <sheet name="02. Hướng dẫn" sheetId="5" r:id="rId3"/>
    <sheet name="03. Trục kết quả trọng tâm" sheetId="2" r:id="rId4"/>
    <sheet name="04. Danh sách đơn vị" sheetId="3" r:id="rId5"/>
    <sheet name="05. Kỳ đánh giá" sheetId="4" r:id="rId6"/>
  </sheets>
  <definedNames>
    <definedName name="_xlnm._FilterDatabase" localSheetId="0" hidden="1">'01. Mẫu import'!$A$2:$N$81</definedName>
    <definedName name="_Hlk227065356" localSheetId="0">'01. Mẫu import'!$A$2</definedName>
    <definedName name="kqdr">KQDR!$A$1:$A$8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1" l="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4" i="1"/>
</calcChain>
</file>

<file path=xl/sharedStrings.xml><?xml version="1.0" encoding="utf-8"?>
<sst xmlns="http://schemas.openxmlformats.org/spreadsheetml/2006/main" count="637" uniqueCount="146">
  <si>
    <t>DANH MỤC SẢN PHẨM CHUẨN</t>
  </si>
  <si>
    <t>TT</t>
  </si>
  <si>
    <t>Mã đơn vị *</t>
  </si>
  <si>
    <t>Tên công việc *</t>
  </si>
  <si>
    <t>Kết quả đầu ra *</t>
  </si>
  <si>
    <t>Thời hạn hoàn thành *</t>
  </si>
  <si>
    <t>Loại công việc *</t>
  </si>
  <si>
    <t>Điểm chuẩn *</t>
  </si>
  <si>
    <t>Hệ số độ khó *</t>
  </si>
  <si>
    <t>Điểm quy đổi tối đa *</t>
  </si>
  <si>
    <t>Minh chứng</t>
  </si>
  <si>
    <t>Ghi chú</t>
  </si>
  <si>
    <t>Trục kết quả trọng tâm *</t>
  </si>
  <si>
    <t>Trạng thái *</t>
  </si>
  <si>
    <t>Kỳ đánh giá *</t>
  </si>
  <si>
    <t>Thường xuyên</t>
  </si>
  <si>
    <t>Hoạt động</t>
  </si>
  <si>
    <t>Đột xuất</t>
  </si>
  <si>
    <t>Tên cột</t>
  </si>
  <si>
    <t>Hướng dẫn</t>
  </si>
  <si>
    <r>
      <rPr>
        <b/>
        <sz val="12"/>
        <color theme="1"/>
        <rFont val="Times New Roman Bold"/>
        <charset val="134"/>
      </rPr>
      <t>Cột 1.</t>
    </r>
    <r>
      <rPr>
        <sz val="12"/>
        <color theme="1"/>
        <rFont val="Times New Roman Regular"/>
        <charset val="134"/>
      </rPr>
      <t xml:space="preserve"> Số thứ tự, không bắt buộc điền</t>
    </r>
  </si>
  <si>
    <r>
      <rPr>
        <b/>
        <sz val="12"/>
        <color theme="1"/>
        <rFont val="Times New Roman Regular"/>
        <charset val="134"/>
      </rPr>
      <t>Cột 2.</t>
    </r>
    <r>
      <rPr>
        <sz val="12"/>
        <color theme="1"/>
        <rFont val="Times New Roman Regular"/>
        <charset val="134"/>
      </rPr>
      <t xml:space="preserve"> Mã đơn vị
</t>
    </r>
    <r>
      <rPr>
        <sz val="12"/>
        <color rgb="FFFF0000"/>
        <rFont val="Times New Roman Regular"/>
        <charset val="134"/>
      </rPr>
      <t xml:space="preserve">- Bắt buộc nhập </t>
    </r>
    <r>
      <rPr>
        <sz val="12"/>
        <color theme="1"/>
        <rFont val="Times New Roman Regular"/>
        <charset val="134"/>
      </rPr>
      <t xml:space="preserve">
- Mã đơn vị lấy thông tin từ sheet 04. Danh sách đơn vị</t>
    </r>
  </si>
  <si>
    <r>
      <rPr>
        <b/>
        <sz val="12"/>
        <color theme="1"/>
        <rFont val="Times New Roman Regular"/>
        <charset val="134"/>
      </rPr>
      <t>Cột 3.</t>
    </r>
    <r>
      <rPr>
        <sz val="12"/>
        <color theme="1"/>
        <rFont val="Times New Roman Regular"/>
        <charset val="134"/>
      </rPr>
      <t xml:space="preserve"> Tên công việc: 
</t>
    </r>
    <r>
      <rPr>
        <sz val="12"/>
        <color rgb="FFFF0000"/>
        <rFont val="Times New Roman Regular"/>
        <charset val="134"/>
      </rPr>
      <t xml:space="preserve">- Bắt buộc nhập </t>
    </r>
    <r>
      <rPr>
        <sz val="12"/>
        <color theme="1"/>
        <rFont val="Times New Roman Regular"/>
        <charset val="134"/>
      </rPr>
      <t xml:space="preserve">
- Ghi nội dung ngắn gọn, phản ánh đúng nhiệm vụ;</t>
    </r>
  </si>
  <si>
    <r>
      <rPr>
        <b/>
        <sz val="12"/>
        <color theme="1"/>
        <rFont val="Times New Roman Regular"/>
        <charset val="134"/>
      </rPr>
      <t>Cột 4.</t>
    </r>
    <r>
      <rPr>
        <sz val="12"/>
        <color theme="1"/>
        <rFont val="Times New Roman Regular"/>
        <charset val="134"/>
      </rPr>
      <t xml:space="preserve"> Kết quả đầu ra: 
</t>
    </r>
    <r>
      <rPr>
        <sz val="12"/>
        <color rgb="FFFF0000"/>
        <rFont val="Times New Roman Regular"/>
        <charset val="134"/>
      </rPr>
      <t xml:space="preserve">- Bắt buộc nhập </t>
    </r>
    <r>
      <rPr>
        <sz val="12"/>
        <color theme="1"/>
        <rFont val="Times New Roman Regular"/>
        <charset val="134"/>
      </rPr>
      <t xml:space="preserve">
- Ghi loại văn bản cụ thể như báo cáo, công văn, kế hoạch, đề án, hồ sơ, dữ liệu;</t>
    </r>
  </si>
  <si>
    <r>
      <rPr>
        <b/>
        <sz val="12"/>
        <color theme="1"/>
        <rFont val="Times New Roman Regular"/>
        <charset val="134"/>
      </rPr>
      <t xml:space="preserve">Cột 5. </t>
    </r>
    <r>
      <rPr>
        <sz val="12"/>
        <color theme="1"/>
        <rFont val="Times New Roman Regular"/>
        <charset val="134"/>
      </rPr>
      <t xml:space="preserve">Thời hạn hoàn thành
</t>
    </r>
    <r>
      <rPr>
        <sz val="12"/>
        <color rgb="FFFF0000"/>
        <rFont val="Times New Roman Regular"/>
        <charset val="134"/>
      </rPr>
      <t>- Bắt buộc nhập</t>
    </r>
    <r>
      <rPr>
        <sz val="12"/>
        <color theme="1"/>
        <rFont val="Times New Roman Regular"/>
        <charset val="134"/>
      </rPr>
      <t xml:space="preserve">
- Ghi ngày hoặc mốc thời gian yêu cầu hoàn thành sản phẩm; Đối với thời hạn hoàn thành trong quý phải ghi cụ thể ngày hoàn thành, không ghi chung chung khó xác định được tiến độ hoàn thành trước hay chậm trễ tiến độ tại phần minh chứng.</t>
    </r>
  </si>
  <si>
    <r>
      <rPr>
        <b/>
        <sz val="12"/>
        <color theme="1"/>
        <rFont val="Times New Roman Regular"/>
        <charset val="134"/>
      </rPr>
      <t>Cột 6.</t>
    </r>
    <r>
      <rPr>
        <sz val="12"/>
        <color theme="1"/>
        <rFont val="Times New Roman Regular"/>
        <charset val="134"/>
      </rPr>
      <t xml:space="preserve"> Loại công việc: 
</t>
    </r>
    <r>
      <rPr>
        <sz val="12"/>
        <color rgb="FFFF0000"/>
        <rFont val="Times New Roman Regular"/>
        <charset val="134"/>
      </rPr>
      <t xml:space="preserve">- Bắt buộc nhập 
</t>
    </r>
    <r>
      <rPr>
        <sz val="12"/>
        <rFont val="Times New Roman Regular"/>
        <charset val="134"/>
      </rPr>
      <t>- Chọn từ danh sách thả xuống:</t>
    </r>
    <r>
      <rPr>
        <sz val="12"/>
        <color theme="1"/>
        <rFont val="Times New Roman Regular"/>
        <charset val="134"/>
      </rPr>
      <t xml:space="preserve">
</t>
    </r>
    <r>
      <rPr>
        <b/>
        <sz val="12"/>
        <color theme="1"/>
        <rFont val="Times New Roman Regular"/>
        <charset val="134"/>
      </rPr>
      <t xml:space="preserve">+ Thường xuyên: </t>
    </r>
    <r>
      <rPr>
        <sz val="12"/>
        <color theme="1"/>
        <rFont val="Times New Roman Regular"/>
        <charset val="134"/>
      </rPr>
      <t xml:space="preserve">Là các nhiệm vụ theo chức năng, nhiệm vụ và kế hoạch công tác; 
</t>
    </r>
    <r>
      <rPr>
        <b/>
        <sz val="12"/>
        <color theme="1"/>
        <rFont val="Times New Roman Regular"/>
        <charset val="134"/>
      </rPr>
      <t xml:space="preserve">+ Đột xuất: </t>
    </r>
    <r>
      <rPr>
        <sz val="12"/>
        <color theme="1"/>
        <rFont val="Times New Roman Regular"/>
        <charset val="134"/>
      </rPr>
      <t xml:space="preserve">Là các nhiệm vụ phát sinh do cấp có thẩm quyền giao ngoài kế hoạch. </t>
    </r>
  </si>
  <si>
    <r>
      <rPr>
        <b/>
        <sz val="12"/>
        <color theme="1"/>
        <rFont val="Times New Roman Regular"/>
        <charset val="134"/>
      </rPr>
      <t xml:space="preserve">Cột 7. </t>
    </r>
    <r>
      <rPr>
        <sz val="12"/>
        <color theme="1"/>
        <rFont val="Times New Roman Regular"/>
        <charset val="134"/>
      </rPr>
      <t>Điểm chuẩn: 
-</t>
    </r>
    <r>
      <rPr>
        <sz val="12"/>
        <color rgb="FFFF0000"/>
        <rFont val="Times New Roman Regular"/>
        <charset val="134"/>
      </rPr>
      <t xml:space="preserve"> Bắt buộc nhập </t>
    </r>
    <r>
      <rPr>
        <sz val="12"/>
        <color theme="1"/>
        <rFont val="Times New Roman Regular"/>
        <charset val="134"/>
      </rPr>
      <t xml:space="preserve">
- Mỗi công việc được xác định một mức điểm chuẩn làm cơ sở đánh giá kết quả thực hiện công việc như sau:
+ Công việc thường xuyên: 10 điểm.
+ Công việc đột xuất: 12 điểm.</t>
    </r>
  </si>
  <si>
    <r>
      <rPr>
        <b/>
        <sz val="12"/>
        <color theme="1"/>
        <rFont val="Times New Roman Regular"/>
        <charset val="134"/>
      </rPr>
      <t>Cột 8. Hệ số độ khó:</t>
    </r>
    <r>
      <rPr>
        <sz val="12"/>
        <color theme="1"/>
        <rFont val="Times New Roman Regular"/>
        <charset val="134"/>
      </rPr>
      <t xml:space="preserve">
</t>
    </r>
    <r>
      <rPr>
        <sz val="12"/>
        <color rgb="FFFF0000"/>
        <rFont val="Times New Roman Regular"/>
        <charset val="134"/>
      </rPr>
      <t>- Bắt buộc nhập</t>
    </r>
    <r>
      <rPr>
        <sz val="12"/>
        <color theme="1"/>
        <rFont val="Times New Roman Regular"/>
        <charset val="134"/>
      </rPr>
      <t xml:space="preserve">
- Được xác định ngay tại thời điểm giao công việc, bảo đảm công khai, minh bạch, có căn cứ để giải trình và được thống nhất giữa người giao công việc và người được giao công việc. Hệ số độ khó được xác định dựa trên mức độ thực hiện công việc, cụ thể:
+ Công việc thông thường; giải quyết sự việc, sự vụ thuộc chuyên môn, nghiệp vụ: 100%
+ Công việc có yêu cầu phối hợp nhiều đơn vị hoặc khối lượng/chuyên môn cao hơn mức bình thường: 110%
+ Công việc đặc biệt quan trọng, phức tạp, có yêu cầu chuyên môn cao hoặc có ảnh hưởng lớn đến đơn vị: 120%</t>
    </r>
  </si>
  <si>
    <r>
      <rPr>
        <b/>
        <sz val="12"/>
        <color theme="1"/>
        <rFont val="Times New Roman Regular"/>
        <charset val="134"/>
      </rPr>
      <t>Cột 9.</t>
    </r>
    <r>
      <rPr>
        <sz val="12"/>
        <color theme="1"/>
        <rFont val="Times New Roman Regular"/>
        <charset val="134"/>
      </rPr>
      <t xml:space="preserve"> Điểm quy đổi tối đa = Điểm chuẩn (cột 7) × Hệ số độ khó (cột 8); </t>
    </r>
    <r>
      <rPr>
        <sz val="12"/>
        <color rgb="FFFF0000"/>
        <rFont val="Times New Roman Regular"/>
        <charset val="134"/>
      </rPr>
      <t>bắt buộc nhập</t>
    </r>
  </si>
  <si>
    <r>
      <rPr>
        <b/>
        <sz val="12"/>
        <color theme="1"/>
        <rFont val="Times New Roman Regular"/>
        <charset val="134"/>
      </rPr>
      <t>Cột 10.</t>
    </r>
    <r>
      <rPr>
        <sz val="12"/>
        <color theme="1"/>
        <rFont val="Times New Roman Regular"/>
        <charset val="134"/>
      </rPr>
      <t xml:space="preserve"> Minh chứng: Ghi Văn bản ban hành, hồ sơ, báo cáo, hệ thống điện tử và ngày tháng hoàn thành sản phẩm</t>
    </r>
  </si>
  <si>
    <r>
      <rPr>
        <b/>
        <sz val="12"/>
        <color theme="1"/>
        <rFont val="Times New Roman Regular"/>
        <charset val="134"/>
      </rPr>
      <t>Cột 11.</t>
    </r>
    <r>
      <rPr>
        <sz val="12"/>
        <color theme="1"/>
        <rFont val="Times New Roman Regular"/>
        <charset val="134"/>
      </rPr>
      <t xml:space="preserve"> Ghi chú: ghi chú nội dung (nếu có), không bắt buộc nhập</t>
    </r>
  </si>
  <si>
    <r>
      <rPr>
        <b/>
        <sz val="12"/>
        <color theme="1"/>
        <rFont val="Times New Roman Regular"/>
        <charset val="134"/>
      </rPr>
      <t xml:space="preserve">Cột 12. </t>
    </r>
    <r>
      <rPr>
        <sz val="12"/>
        <color theme="1"/>
        <rFont val="Times New Roman Regular"/>
        <charset val="134"/>
      </rPr>
      <t xml:space="preserve">Trục kết quả trọng tâm: 
</t>
    </r>
    <r>
      <rPr>
        <sz val="12"/>
        <color rgb="FFFF0000"/>
        <rFont val="Times New Roman Regular"/>
        <charset val="134"/>
      </rPr>
      <t>- Bắt buộc nhập</t>
    </r>
    <r>
      <rPr>
        <sz val="12"/>
        <color theme="1"/>
        <rFont val="Times New Roman Regular"/>
        <charset val="134"/>
      </rPr>
      <t xml:space="preserve">
- Xem và chọn các giá trị có sẵn tại sheet 03. Trục kết quả trọng tâm (không được nhập giá trị khác)</t>
    </r>
  </si>
  <si>
    <r>
      <rPr>
        <b/>
        <sz val="12"/>
        <color theme="1"/>
        <rFont val="Times New Roman Regular"/>
        <charset val="134"/>
      </rPr>
      <t xml:space="preserve">Cột 13. </t>
    </r>
    <r>
      <rPr>
        <sz val="12"/>
        <color theme="1"/>
        <rFont val="Times New Roman Regular"/>
        <charset val="134"/>
      </rPr>
      <t xml:space="preserve">Trạng thái: 
</t>
    </r>
    <r>
      <rPr>
        <sz val="12"/>
        <color rgb="FFFF0000"/>
        <rFont val="Times New Roman Regular"/>
        <charset val="134"/>
      </rPr>
      <t xml:space="preserve">- Bắt buộc nhập </t>
    </r>
    <r>
      <rPr>
        <sz val="12"/>
        <color theme="1"/>
        <rFont val="Times New Roman Regular"/>
        <charset val="134"/>
      </rPr>
      <t xml:space="preserve">
- Chọn 1 trong 2 giá trị: Hoạt động/ Không hoạt động</t>
    </r>
  </si>
  <si>
    <t>STT</t>
  </si>
  <si>
    <t>Mã đơn vị</t>
  </si>
  <si>
    <t>Tên đơn vị</t>
  </si>
  <si>
    <t>Mã kỳ</t>
  </si>
  <si>
    <t>Tên kỳ</t>
  </si>
  <si>
    <t>Thời gian đánh giá</t>
  </si>
  <si>
    <t>Mô tả</t>
  </si>
  <si>
    <t>Từ ngày</t>
  </si>
  <si>
    <t>Đến ngày</t>
  </si>
  <si>
    <t>Cột 14. Kỳ đánh giá:
- Bắt buộc nhập
- Xem và chọn Mã kỳ đánh giá có sẵn tại sheet 05. Kỳ đánh giá để nhập (không được nhập giá trị khác)</t>
  </si>
  <si>
    <t>A29.123.22</t>
  </si>
  <si>
    <t>TRỤC 1 - THỰC HIỆN MỤC TIÊU PHÁT TRIỂN KINH TẾ - XÃ HỘI VÀ NHIỆM VỤ CHÍNH TRỊ ĐƯỢC GIAO</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</si>
  <si>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</si>
  <si>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</si>
  <si>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</si>
  <si>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</si>
  <si>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</si>
  <si>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Chi bộ Trường Mầm non Hoàng Yến</t>
  </si>
  <si>
    <t>(Chính thức)KPI-Q3-2026</t>
  </si>
  <si>
    <t>(Chính thức)Đánh giá Quý III/2026</t>
  </si>
  <si>
    <t>11/06/2026</t>
  </si>
  <si>
    <t>10/09/2026</t>
  </si>
  <si>
    <t/>
  </si>
  <si>
    <t>T-KPI-Q3-2026</t>
  </si>
  <si>
    <t>[Test] Đánh giá KPI Quý III/2026</t>
  </si>
  <si>
    <t>VTTAPHUAN0509</t>
  </si>
  <si>
    <t>Viettel Tập huấn 05/09</t>
  </si>
  <si>
    <t>(Daotao 05/09)_KPI-Q3-2026</t>
  </si>
  <si>
    <t>(Đào tạo 05/09)_Đánh giá KPI Quý III/2026</t>
  </si>
  <si>
    <t>Văn bản/ Tài liệu</t>
  </si>
  <si>
    <t>Báo cáo tổng hợp</t>
  </si>
  <si>
    <t>Quyết định / Chỉ thị</t>
  </si>
  <si>
    <t>Kế hoạch thực hiện</t>
  </si>
  <si>
    <t>Sản phẩm phần mềm</t>
  </si>
  <si>
    <t>Hội nghị/ Hội thảo</t>
  </si>
  <si>
    <t>Kết quả kiểm tra giám sát</t>
  </si>
  <si>
    <t>Khác</t>
  </si>
  <si>
    <t>Tổ chức họp cấp ủy, chi bộ, sinh hoạt hàng tháng</t>
  </si>
  <si>
    <t>Tổ chức sinh hoạt chuyên đề quý 3</t>
  </si>
  <si>
    <t>Tổ chức Lễ kết nạp Đảng viên mới</t>
  </si>
  <si>
    <t>Lập danh sách phát thẻ (Mẫu 1-TĐV) cho 01 đảng viên chính thức</t>
  </si>
  <si>
    <t>Hội nghị trực tuyến toàn quốc nghiên cứu, học tập, quán triệt và triển khai thực hiện Nghị quyết Hội nghị lần thứ ba Ban Chấp hành Trung ương Đảng khóa XIV</t>
  </si>
  <si>
    <t>Thực hiện đăng ký mô hình tiêu biểu và đảng viên đăng ký chương trình hành động cá nhân 2026</t>
  </si>
  <si>
    <t>Tập huấn công tác thực hiện quy chế dân chủ ở cơ sở</t>
  </si>
  <si>
    <t>Chi bộ tham dự Hội nghị trực tuyến quán triệt và triển khai thực hiện Nghị quyết Hội nghị lần thứ ba Ban Chấp hành Trung ương Đảng khóa XIV</t>
  </si>
  <si>
    <t>Rà soát nguồn quần chúng ưu tú và thực hiện đăng ký Tham gia lớp "Bồi dưỡng nhận thức về Đảng”</t>
  </si>
  <si>
    <t>Thông tin thời sự 6 tháng đầu năm 2026</t>
  </si>
  <si>
    <t>Họp mặt kỷ niệm 81 năm ngày Cách mạng tháng 8 thành công (19/8/1945-19/8/2026) và Quốc Khánh nước Cộng hòa XHCNVN (02/9/1945-02/9/2026); Lễ trao tặng, truy tặng Huy hiệu Đảng đợt 02/9/2026</t>
  </si>
  <si>
    <t>Tham gia học bồi dưỡng chính trị hè</t>
  </si>
  <si>
    <t>Tham dự Hội nghị đối thoại trực tiếp với lãnh đạo phường An Đông</t>
  </si>
  <si>
    <t>Hội nghị tuyên truyển biển đảo năm 2026</t>
  </si>
  <si>
    <t>Kế hoạch triển khai các hoạt động tuyên thông hưởng ứng ngày Dân số Thế giới</t>
  </si>
  <si>
    <t>Hội nghị Ban chấp hành Đảng bộ phường An Đông</t>
  </si>
  <si>
    <t>Không gian Văn hóa Hồ Chí Minh</t>
  </si>
  <si>
    <t>Chi bộ tham dự Hội nghị trực tuyến toàn quốc nghiên cứu, học tập, quán triệt và triển khai thực hiện một số Nghị quyết, Chỉ thị của Bộ Chính trị</t>
  </si>
  <si>
    <t>Phân công phân nhiệm năm học 2026-2027</t>
  </si>
  <si>
    <t>Tham gia lớp học bồi dưỡng nghiệp vụ chuyên môn về đấu thầu lựa chọn nhà thầu.</t>
  </si>
  <si>
    <t>Tham dự tổng kết cụm 6 mầm non</t>
  </si>
  <si>
    <t>Cập nhật nội dung các hoạt động của đơn vị</t>
  </si>
  <si>
    <t>Chính sách học phí, chính sách hỗ trợ người học và các khoản thu trong lĩnh vực giáo dục và đào tạo năm học 2026-2027 trên địa bàn Tp.HCM</t>
  </si>
  <si>
    <t>Công tác y tế, đảm bảo an toàn thực phẩm, phòng ngừa ngộ độc thực phẩm trong trường học trên địa bàn TP.HCM năm 2026</t>
  </si>
  <si>
    <t>Tuyên truyền thực hiện Chương trình bảo vệ và phát huy giá trị di sản văn hóa trên địa bàn Thành phố giai đoạn 2026-2030</t>
  </si>
  <si>
    <t>Không gian văn hóa Hồ Chí Minh</t>
  </si>
  <si>
    <t>Khen thưởng tập thể và cá nhân thực hiện tốt nhiệm vụ giáo dục năm học 2025-2026</t>
  </si>
  <si>
    <t>Cung cấp danh sách, thông tin về tổ chức bữa ăn bán trú cho học sinh</t>
  </si>
  <si>
    <t>Hội nghị Tổng kết năm học 2025-2026 và triển khai nhiệm vụ năm học 2026 - 2027</t>
  </si>
  <si>
    <t>Công tác huy động trẻ ra lớp và tuyển sinh vào các lớp đầu cấp năm học 2026 - 2027</t>
  </si>
  <si>
    <t>Kế hoạch lựa chọn, mua sắm đồ dùng, học liệu năm học 2026-2027</t>
  </si>
  <si>
    <t>Ngày hội “Cùng em đến trường”</t>
  </si>
  <si>
    <t>Xây dựng môi trường lớp chuẩn bị năm học mới</t>
  </si>
  <si>
    <t>Hội nghị tập huấn hướng dẫn rà soát, cập nhật, làm sạch dữ liệu về cơ sở vật chất, thiết bị dạy học các cơ sở giáo dục trên địa bàn Thành phố Hồ Chí Minh</t>
  </si>
  <si>
    <t>Lễ khai giảng 5/9</t>
  </si>
  <si>
    <t>Kế hoạch thực hiện nhiệm vụ năm học 2026-2027</t>
  </si>
  <si>
    <t>Công tác kiểm định chất lượng giáo dục, chuẩn quốc gia</t>
  </si>
  <si>
    <t>Cải tạo và xây dựng mô hình vườn cây của bé</t>
  </si>
  <si>
    <t>Cải tạo cơ sở vật chất</t>
  </si>
  <si>
    <t>Thiết bị dạy học</t>
  </si>
  <si>
    <t>Đồ chơi, học liệu</t>
  </si>
  <si>
    <t>Tổng kết kết quả BDTX</t>
  </si>
  <si>
    <t>Thực hiện phiếu lấy ý kiến chuyên môn của đại diện các trường mầm non</t>
  </si>
  <si>
    <t>Khảo sát, thăm dò dư luận xã hội trên mạng internet trong cán bộ, đảng viên và nhân dân</t>
  </si>
  <si>
    <t>Tập huấn chuyên đề</t>
  </si>
  <si>
    <t>Thực hiện khảo sát (Về sự quan tâm, kỳ vọng của người dân đối với công tác giáo dục, đào tạo và công tác chuẩn bị năm học mới (2026 - 2027) trên địa bàn Tp. Hồ Chí Minh)</t>
  </si>
  <si>
    <t>Triển khai kế hoạch BDTX năm học 2026-2027</t>
  </si>
  <si>
    <t>Công tác tập huấn bồi dưỡng chuyên môn</t>
  </si>
  <si>
    <t>Kế hoạch giáo dục các lớp</t>
  </si>
  <si>
    <t>Tổ chức hoạt động hè đợt 1</t>
  </si>
  <si>
    <t>Tổ chức hoạt động hè đợt 2</t>
  </si>
  <si>
    <t>Chương trình “con là anh hùng nhí”</t>
  </si>
  <si>
    <t>Tổ chức sân chơi</t>
  </si>
  <si>
    <t>Tổ chức Lễ hội trung thu</t>
  </si>
  <si>
    <t>Báo  cáo giám sát về công tác tổ chức bữa ăn học đường</t>
  </si>
  <si>
    <t>Thực hiện hồ sơ kiểm tra, giám sát tại chi bộ</t>
  </si>
  <si>
    <t>Hội nghị sơ kết công tác kiểm tra, giám sát 6 tháng đầu năm 2026 và sinh hoạt chuyên đề về tăng cường công tác tự kiểm tra, giám sát</t>
  </si>
  <si>
    <t>Thực hiện hồ sơ kiểm tra, giám sát theo kế hoạch của Đảng ủy phường An Đông</t>
  </si>
  <si>
    <t>Thực hiện báo cáo kiểm tra công tác tự kiểm tra, giám sát Quý III/2026</t>
  </si>
  <si>
    <t>Thực hiện quy chế làm việc, chế độ hội họp của cấp ủy, chi bộ</t>
  </si>
  <si>
    <t>Bảo đảm an toàn thông tin mạng</t>
  </si>
  <si>
    <t>Triển khai đội ngũ giáo viên lập group lớp năm học 2026-2027</t>
  </si>
  <si>
    <t>Đăng ký hợp đồng mua phần mềm sổ liên lạc điện tử</t>
  </si>
  <si>
    <t>Mô hình thư viện số</t>
  </si>
  <si>
    <t>Bồi dưỡng thực hành công nghệ, thông tin, ứng dụng trí tuệ nhân tạo (AI)</t>
  </si>
  <si>
    <t>Nâng cao chất lượng sinh hoạt cấp ủy, chi bộ</t>
  </si>
  <si>
    <t>Công tác tuyên truyền, tổ chức học tập, quán triệt Nghị quyết, Chỉ thị, kết luận của Trung ương, Thành phố, Đảng ủy phường</t>
  </si>
  <si>
    <t>Tăng cường công tác phòng, chống tham nhũng, lãng phí, tiêu cực</t>
  </si>
  <si>
    <t>Triển khai tổ chức khám sức khỏe định kỳ đầu năm học cho học sinh, học viên năm học 2026-2027 và giai đoạn 2026-2030.</t>
  </si>
  <si>
    <t>Tổ chức khám sức khỏe đầu năm</t>
  </si>
  <si>
    <t>Công tác chăm lo đối với gia đình chính sách, người có công</t>
  </si>
  <si>
    <t>Tham dự Đại hội đại biểu khuyến học phường An Đông</t>
  </si>
  <si>
    <t>Công tác PCCC</t>
  </si>
  <si>
    <t>Lắp đặt thiết bị truyền tin báo cháy</t>
  </si>
  <si>
    <t>Công tác về nguồn tại khu di tích Láng Le - Bàu Cò</t>
  </si>
  <si>
    <t>Công tác phát triển đảng viên mới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</si>
</sst>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quot;)&quot;"/>
  </numFmts>
  <fonts count="15">
    <font>
      <sz val="11"/>
      <color theme="1"/>
      <name val="Calibri"/>
      <charset val="134"/>
      <scheme val="minor"/>
    </font>
    <font>
      <sz val="11"/>
      <color theme="1"/>
      <name val="Calibri"/>
      <family val="2"/>
      <scheme val="minor"/>
    </font>
    <font>
      <b/>
      <sz val="12"/>
      <color theme="1"/>
      <name val="Times New Roman"/>
      <charset val="134"/>
    </font>
    <font>
      <sz val="12"/>
      <name val="Times New Roman"/>
      <charset val="134"/>
    </font>
    <font>
      <sz val="12"/>
      <color theme="1"/>
      <name val="Times New Roman Regular"/>
      <charset val="134"/>
    </font>
    <font>
      <b/>
      <sz val="12"/>
      <color theme="1"/>
      <name val="Times New Roman Regular"/>
      <charset val="134"/>
    </font>
    <font>
      <b/>
      <sz val="12"/>
      <color theme="1"/>
      <name val="Times New Roman Bold"/>
      <charset val="134"/>
    </font>
    <font>
      <sz val="12"/>
      <color theme="1"/>
      <name val="Times New Roman"/>
      <charset val="134"/>
    </font>
    <font>
      <b/>
      <sz val="16"/>
      <color theme="1"/>
      <name val="Times New Roman"/>
      <charset val="134"/>
    </font>
    <font>
      <b/>
      <sz val="13"/>
      <name val="Times New Roman"/>
      <charset val="134"/>
    </font>
    <font>
      <sz val="12"/>
      <color rgb="FFFF0000"/>
      <name val="Times New Roman Regular"/>
      <charset val="134"/>
    </font>
    <font>
      <sz val="12"/>
      <name val="Times New Roman Regular"/>
      <charset val="134"/>
    </font>
    <font>
      <sz val="12"/>
      <name val="Times New Roman"/>
    </font>
    <font>
      <sz val="11"/>
      <color theme="1"/>
      <name val="Calibri"/>
      <charset val="134"/>
      <scheme val="minor"/>
    </font>
    <font>
      <sz val="8"/>
      <name val="Calibri"/>
      <charset val="134"/>
      <scheme val="minor"/>
    </font>
  </fonts>
  <fills count="3">
    <fill>
      <patternFill patternType="none"/>
    </fill>
    <fill>
      <patternFill patternType="gray125"/>
    </fill>
    <fill>
      <patternFill patternType="solid">
        <fgColor theme="9" tint="0.79995117038483843"/>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3" fillId="0" borderId="0"/>
    <xf numFmtId="0" fontId="1" fillId="0" borderId="0"/>
  </cellStyleXfs>
  <cellXfs count="30">
    <xf numFmtId="0" fontId="0" fillId="0" borderId="0" xfId="0"/>
    <xf numFmtId="0" fontId="2" fillId="2" borderId="1" xfId="1" applyFont="1" applyFill="1" applyBorder="1" applyAlignment="1" applyProtection="1">
      <alignment horizontal="center" vertical="center" wrapText="1"/>
      <protection locked="0"/>
    </xf>
    <xf numFmtId="0" fontId="2" fillId="2" borderId="1" xfId="1" applyFont="1" applyFill="1" applyBorder="1" applyAlignment="1" applyProtection="1">
      <alignment vertical="center" wrapText="1"/>
      <protection locked="0"/>
    </xf>
    <xf numFmtId="0" fontId="4" fillId="0" borderId="0" xfId="0" applyFont="1" applyAlignment="1">
      <alignment wrapText="1"/>
    </xf>
    <xf numFmtId="0" fontId="4" fillId="0" borderId="0" xfId="0" applyFont="1"/>
    <xf numFmtId="0" fontId="5" fillId="0" borderId="0" xfId="0" applyFont="1" applyAlignment="1">
      <alignment vertical="top" wrapText="1"/>
    </xf>
    <xf numFmtId="0" fontId="4" fillId="0" borderId="0" xfId="0" applyFont="1" applyAlignment="1">
      <alignment vertical="top"/>
    </xf>
    <xf numFmtId="0" fontId="4" fillId="0" borderId="0" xfId="0" applyFont="1" applyAlignment="1">
      <alignment vertical="top" wrapText="1"/>
    </xf>
    <xf numFmtId="0" fontId="6" fillId="0" borderId="0" xfId="0" applyFont="1" applyAlignment="1">
      <alignment vertical="top" wrapText="1"/>
    </xf>
    <xf numFmtId="0" fontId="5" fillId="0" borderId="0" xfId="1" applyFont="1" applyAlignment="1" applyProtection="1">
      <alignment vertical="top" wrapText="1"/>
      <protection locked="0"/>
    </xf>
    <xf numFmtId="0" fontId="5" fillId="0" borderId="0" xfId="1" applyFont="1" applyAlignment="1">
      <alignment vertical="top" wrapText="1"/>
    </xf>
    <xf numFmtId="0" fontId="4" fillId="0" borderId="0" xfId="0" applyFont="1" applyAlignment="1">
      <alignment horizontal="left" vertical="top" wrapText="1"/>
    </xf>
    <xf numFmtId="0" fontId="6" fillId="0" borderId="0" xfId="0" applyFont="1" applyAlignment="1">
      <alignment horizontal="left" vertical="top" wrapText="1"/>
    </xf>
    <xf numFmtId="0" fontId="7" fillId="0" borderId="0" xfId="1" applyFont="1"/>
    <xf numFmtId="0" fontId="7" fillId="0" borderId="0" xfId="1" applyFont="1" applyAlignment="1">
      <alignment horizontal="center" vertical="center"/>
    </xf>
    <xf numFmtId="0" fontId="8" fillId="0" borderId="0" xfId="1" applyFont="1" applyAlignment="1">
      <alignment horizontal="center" wrapText="1"/>
    </xf>
    <xf numFmtId="0" fontId="9" fillId="2" borderId="1" xfId="0" applyFont="1" applyFill="1" applyBorder="1" applyAlignment="1">
      <alignment horizontal="center" vertical="center" wrapText="1"/>
    </xf>
    <xf numFmtId="164" fontId="7" fillId="0" borderId="1" xfId="1" applyNumberFormat="1" applyFont="1" applyBorder="1" applyAlignment="1" applyProtection="1">
      <alignment horizontal="center" vertical="center" wrapText="1"/>
      <protection locked="0"/>
    </xf>
    <xf numFmtId="0" fontId="7" fillId="0" borderId="1" xfId="1" applyFont="1" applyBorder="1" applyAlignment="1" applyProtection="1">
      <alignment horizontal="center" vertical="center" wrapText="1"/>
      <protection locked="0"/>
    </xf>
    <xf numFmtId="0" fontId="3" fillId="0" borderId="1" xfId="0" applyFont="1" applyBorder="1" applyAlignment="1">
      <alignment horizontal="center" vertical="center"/>
    </xf>
    <xf numFmtId="0" fontId="12" fillId="0" borderId="2" xfId="0" applyFont="1" applyBorder="1" applyAlignment="1">
      <alignment vertical="center"/>
    </xf>
    <xf numFmtId="49" fontId="12" fillId="0" borderId="0" xfId="0" applyNumberFormat="1" applyFont="1" applyAlignment="1">
      <alignment horizontal="center" vertical="center"/>
    </xf>
    <xf numFmtId="0" fontId="12" fillId="0" borderId="3" xfId="2" applyFont="1" applyBorder="1" applyAlignment="1">
      <alignment horizontal="center" vertical="center" wrapText="1"/>
    </xf>
    <xf numFmtId="0" fontId="12" fillId="0" borderId="3" xfId="2" applyFont="1" applyBorder="1" applyAlignment="1">
      <alignment horizontal="left" vertical="top" wrapText="1"/>
    </xf>
    <xf numFmtId="9" fontId="12" fillId="0" borderId="3" xfId="2" applyNumberFormat="1" applyFont="1" applyBorder="1" applyAlignment="1">
      <alignment horizontal="center" vertical="center" wrapText="1"/>
    </xf>
    <xf numFmtId="0" fontId="12" fillId="0" borderId="3" xfId="0" applyFont="1" applyBorder="1" applyAlignment="1">
      <alignment horizontal="left" vertical="top" wrapText="1"/>
    </xf>
    <xf numFmtId="14" fontId="12" fillId="0" borderId="3" xfId="2" applyNumberFormat="1" applyFont="1" applyBorder="1" applyAlignment="1">
      <alignment horizontal="left" vertical="top" wrapText="1"/>
    </xf>
    <xf numFmtId="0" fontId="8" fillId="0" borderId="0" xfId="1" applyFont="1" applyAlignment="1">
      <alignment horizontal="center" wrapText="1"/>
    </xf>
    <xf numFmtId="0" fontId="2" fillId="2" borderId="1" xfId="1" applyFont="1" applyFill="1" applyBorder="1" applyAlignment="1" applyProtection="1">
      <alignment horizontal="center" vertical="center" wrapText="1"/>
      <protection locked="0"/>
    </xf>
    <xf numFmtId="0" fontId="2" fillId="2" borderId="1" xfId="1" applyFont="1" applyFill="1" applyBorder="1" applyAlignment="1" applyProtection="1">
      <alignment vertical="center" wrapText="1"/>
      <protection locked="0"/>
    </xf>
  </cellXfs>
  <cellStyles count="3">
    <cellStyle name="Normal" xfId="0" builtinId="0"/>
    <cellStyle name="Normal 2" xfId="2" xr:uid="{29A95346-41C5-43FE-9CBE-CABB8754239E}"/>
    <cellStyle name="Normal 3" xfId="1" xr:uid="{00000000-0005-0000-0000-000031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1"/>
  <sheetViews>
    <sheetView tabSelected="1" zoomScale="120" zoomScaleNormal="120" workbookViewId="0">
      <pane ySplit="3" topLeftCell="A17" activePane="bottomLeft" state="frozen"/>
      <selection pane="bottomLeft" activeCell="G70" sqref="G70"/>
    </sheetView>
  </sheetViews>
  <sheetFormatPr defaultColWidth="8.5703125" defaultRowHeight="15.75"/>
  <cols>
    <col min="1" max="1" width="4.7109375" style="13" customWidth="1"/>
    <col min="2" max="2" width="14" style="13" bestFit="1" customWidth="1"/>
    <col min="3" max="3" width="56.28515625" style="13" customWidth="1"/>
    <col min="4" max="4" width="30.28515625" style="13" customWidth="1"/>
    <col min="5" max="5" width="12.7109375" style="21" customWidth="1"/>
    <col min="6" max="6" width="21.85546875" style="13" customWidth="1"/>
    <col min="7" max="7" width="9" style="14" customWidth="1"/>
    <col min="8" max="8" width="9.5703125" style="14" customWidth="1"/>
    <col min="9" max="9" width="8" style="13" customWidth="1"/>
    <col min="10" max="10" width="14.42578125" style="13" customWidth="1"/>
    <col min="11" max="11" width="8.7109375" style="13" bestFit="1" customWidth="1"/>
    <col min="12" max="12" width="62.85546875" style="13" customWidth="1"/>
    <col min="13" max="14" width="14.42578125" style="13" customWidth="1"/>
    <col min="15" max="16384" width="8.5703125" style="13"/>
  </cols>
  <sheetData>
    <row r="1" spans="1:14" ht="20.25">
      <c r="A1" s="27" t="s">
        <v>0</v>
      </c>
      <c r="B1" s="27"/>
      <c r="C1" s="27"/>
      <c r="D1" s="27"/>
      <c r="E1" s="27"/>
      <c r="F1" s="27"/>
      <c r="G1" s="27"/>
      <c r="H1" s="27"/>
      <c r="I1" s="27"/>
      <c r="J1" s="27"/>
      <c r="K1" s="27"/>
      <c r="L1" s="27"/>
      <c r="M1" s="27"/>
      <c r="N1" s="15"/>
    </row>
    <row r="2" spans="1:14" ht="60.6" customHeight="1">
      <c r="A2" s="2" t="s">
        <v>1</v>
      </c>
      <c r="B2" s="1" t="s">
        <v>2</v>
      </c>
      <c r="C2" s="1" t="s">
        <v>3</v>
      </c>
      <c r="D2" s="1" t="s">
        <v>4</v>
      </c>
      <c r="E2" s="1" t="s">
        <v>5</v>
      </c>
      <c r="F2" s="1" t="s">
        <v>6</v>
      </c>
      <c r="G2" s="1" t="s">
        <v>7</v>
      </c>
      <c r="H2" s="1" t="s">
        <v>8</v>
      </c>
      <c r="I2" s="16" t="s">
        <v>9</v>
      </c>
      <c r="J2" s="1" t="s">
        <v>10</v>
      </c>
      <c r="K2" s="1" t="s">
        <v>11</v>
      </c>
      <c r="L2" s="1" t="s">
        <v>12</v>
      </c>
      <c r="M2" s="1" t="s">
        <v>13</v>
      </c>
      <c r="N2" s="1" t="s">
        <v>14</v>
      </c>
    </row>
    <row r="3" spans="1:14">
      <c r="A3" s="17">
        <v>1</v>
      </c>
      <c r="B3" s="17">
        <v>2</v>
      </c>
      <c r="C3" s="17">
        <v>3</v>
      </c>
      <c r="D3" s="17">
        <v>4</v>
      </c>
      <c r="E3" s="17">
        <v>5</v>
      </c>
      <c r="F3" s="17">
        <v>6</v>
      </c>
      <c r="G3" s="17">
        <v>7</v>
      </c>
      <c r="H3" s="17">
        <v>8</v>
      </c>
      <c r="I3" s="17">
        <v>9</v>
      </c>
      <c r="J3" s="17">
        <v>10</v>
      </c>
      <c r="K3" s="17">
        <v>11</v>
      </c>
      <c r="L3" s="17">
        <v>12</v>
      </c>
      <c r="M3" s="17">
        <v>13</v>
      </c>
      <c r="N3" s="17">
        <v>14</v>
      </c>
    </row>
    <row r="4" spans="1:14" ht="47.25">
      <c r="A4" s="18">
        <v>1</v>
      </c>
      <c r="B4" s="19" t="s">
        <v>43</v>
      </c>
      <c r="C4" s="23" t="s">
        <v>70</v>
      </c>
      <c r="D4" s="23" t="s">
        <v>63</v>
      </c>
      <c r="E4" s="26">
        <v>46268</v>
      </c>
      <c r="F4" s="22" t="s">
        <v>15</v>
      </c>
      <c r="G4" s="22">
        <v>10</v>
      </c>
      <c r="H4" s="24">
        <v>1</v>
      </c>
      <c r="I4" s="22">
        <f>G4*H4</f>
        <v>10</v>
      </c>
      <c r="J4" s="23"/>
      <c r="K4" s="18"/>
      <c r="L4" s="18" t="s">
        <v>44</v>
      </c>
      <c r="M4" s="18" t="s">
        <v>16</v>
      </c>
      <c r="N4" s="18" t="s">
        <v>51</v>
      </c>
    </row>
    <row r="5" spans="1:14" ht="47.25">
      <c r="A5" s="18">
        <v>2</v>
      </c>
      <c r="B5" s="19" t="s">
        <v>43</v>
      </c>
      <c r="C5" s="23" t="s">
        <v>71</v>
      </c>
      <c r="D5" s="23" t="s">
        <v>67</v>
      </c>
      <c r="E5" s="26">
        <v>46237</v>
      </c>
      <c r="F5" s="22" t="s">
        <v>15</v>
      </c>
      <c r="G5" s="22">
        <v>10</v>
      </c>
      <c r="H5" s="24">
        <v>1</v>
      </c>
      <c r="I5" s="22">
        <f t="shared" ref="I5:I68" si="0">G5*H5</f>
        <v>10</v>
      </c>
      <c r="J5" s="23"/>
      <c r="K5" s="18"/>
      <c r="L5" s="18" t="s">
        <v>44</v>
      </c>
      <c r="M5" s="18" t="s">
        <v>16</v>
      </c>
      <c r="N5" s="18" t="s">
        <v>51</v>
      </c>
    </row>
    <row r="6" spans="1:14" ht="47.25">
      <c r="A6" s="18">
        <v>3</v>
      </c>
      <c r="B6" s="19" t="s">
        <v>43</v>
      </c>
      <c r="C6" s="23" t="s">
        <v>72</v>
      </c>
      <c r="D6" s="23" t="s">
        <v>67</v>
      </c>
      <c r="E6" s="26">
        <v>46205</v>
      </c>
      <c r="F6" s="22" t="s">
        <v>15</v>
      </c>
      <c r="G6" s="22">
        <v>10</v>
      </c>
      <c r="H6" s="24">
        <v>1.2</v>
      </c>
      <c r="I6" s="22">
        <f t="shared" si="0"/>
        <v>12</v>
      </c>
      <c r="J6" s="23"/>
      <c r="K6" s="18"/>
      <c r="L6" s="18" t="s">
        <v>44</v>
      </c>
      <c r="M6" s="18" t="s">
        <v>16</v>
      </c>
      <c r="N6" s="18" t="s">
        <v>51</v>
      </c>
    </row>
    <row r="7" spans="1:14" ht="47.25">
      <c r="A7" s="18">
        <v>4</v>
      </c>
      <c r="B7" s="19" t="s">
        <v>43</v>
      </c>
      <c r="C7" s="23" t="s">
        <v>73</v>
      </c>
      <c r="D7" s="23" t="s">
        <v>63</v>
      </c>
      <c r="E7" s="26">
        <v>46230</v>
      </c>
      <c r="F7" s="22" t="s">
        <v>15</v>
      </c>
      <c r="G7" s="22">
        <v>10</v>
      </c>
      <c r="H7" s="24">
        <v>1</v>
      </c>
      <c r="I7" s="22">
        <f t="shared" si="0"/>
        <v>10</v>
      </c>
      <c r="J7" s="23"/>
      <c r="K7" s="18"/>
      <c r="L7" s="18" t="s">
        <v>44</v>
      </c>
      <c r="M7" s="18" t="s">
        <v>16</v>
      </c>
      <c r="N7" s="18" t="s">
        <v>51</v>
      </c>
    </row>
    <row r="8" spans="1:14" ht="47.25">
      <c r="A8" s="18">
        <v>5</v>
      </c>
      <c r="B8" s="19" t="s">
        <v>43</v>
      </c>
      <c r="C8" s="23" t="s">
        <v>74</v>
      </c>
      <c r="D8" s="23" t="s">
        <v>67</v>
      </c>
      <c r="E8" s="26">
        <v>46232</v>
      </c>
      <c r="F8" s="22" t="s">
        <v>15</v>
      </c>
      <c r="G8" s="22">
        <v>10</v>
      </c>
      <c r="H8" s="24">
        <v>1</v>
      </c>
      <c r="I8" s="22">
        <f t="shared" si="0"/>
        <v>10</v>
      </c>
      <c r="J8" s="23"/>
      <c r="K8" s="18"/>
      <c r="L8" s="18" t="s">
        <v>44</v>
      </c>
      <c r="M8" s="18" t="s">
        <v>16</v>
      </c>
      <c r="N8" s="18" t="s">
        <v>51</v>
      </c>
    </row>
    <row r="9" spans="1:14" ht="47.25">
      <c r="A9" s="18">
        <v>6</v>
      </c>
      <c r="B9" s="19" t="s">
        <v>43</v>
      </c>
      <c r="C9" s="23" t="s">
        <v>75</v>
      </c>
      <c r="D9" s="23" t="s">
        <v>69</v>
      </c>
      <c r="E9" s="26">
        <v>46238</v>
      </c>
      <c r="F9" s="22" t="s">
        <v>15</v>
      </c>
      <c r="G9" s="22">
        <v>10</v>
      </c>
      <c r="H9" s="24">
        <v>1.2</v>
      </c>
      <c r="I9" s="22">
        <f t="shared" si="0"/>
        <v>12</v>
      </c>
      <c r="J9" s="23"/>
      <c r="K9" s="18"/>
      <c r="L9" s="18" t="s">
        <v>44</v>
      </c>
      <c r="M9" s="18" t="s">
        <v>16</v>
      </c>
      <c r="N9" s="18" t="s">
        <v>51</v>
      </c>
    </row>
    <row r="10" spans="1:14" ht="47.25">
      <c r="A10" s="18">
        <v>7</v>
      </c>
      <c r="B10" s="19" t="s">
        <v>43</v>
      </c>
      <c r="C10" s="23" t="s">
        <v>76</v>
      </c>
      <c r="D10" s="23" t="s">
        <v>67</v>
      </c>
      <c r="E10" s="26">
        <v>46239</v>
      </c>
      <c r="F10" s="22" t="s">
        <v>15</v>
      </c>
      <c r="G10" s="22">
        <v>10</v>
      </c>
      <c r="H10" s="24">
        <v>1</v>
      </c>
      <c r="I10" s="22">
        <f t="shared" si="0"/>
        <v>10</v>
      </c>
      <c r="J10" s="23"/>
      <c r="L10" s="18" t="s">
        <v>44</v>
      </c>
      <c r="M10" s="18" t="s">
        <v>16</v>
      </c>
      <c r="N10" s="18" t="s">
        <v>51</v>
      </c>
    </row>
    <row r="11" spans="1:14" ht="47.25">
      <c r="A11" s="18">
        <v>8</v>
      </c>
      <c r="B11" s="19" t="s">
        <v>43</v>
      </c>
      <c r="C11" s="23" t="s">
        <v>77</v>
      </c>
      <c r="D11" s="23" t="s">
        <v>67</v>
      </c>
      <c r="E11" s="26">
        <v>46241</v>
      </c>
      <c r="F11" s="22" t="s">
        <v>15</v>
      </c>
      <c r="G11" s="22">
        <v>10</v>
      </c>
      <c r="H11" s="24">
        <v>1</v>
      </c>
      <c r="I11" s="22">
        <f t="shared" si="0"/>
        <v>10</v>
      </c>
      <c r="J11" s="23"/>
      <c r="L11" s="18" t="s">
        <v>44</v>
      </c>
      <c r="M11" s="18" t="s">
        <v>16</v>
      </c>
      <c r="N11" s="18" t="s">
        <v>51</v>
      </c>
    </row>
    <row r="12" spans="1:14" ht="47.25">
      <c r="A12" s="18">
        <v>9</v>
      </c>
      <c r="B12" s="19" t="s">
        <v>43</v>
      </c>
      <c r="C12" s="23" t="s">
        <v>78</v>
      </c>
      <c r="D12" s="23" t="s">
        <v>63</v>
      </c>
      <c r="E12" s="26">
        <v>46264</v>
      </c>
      <c r="F12" s="22" t="s">
        <v>15</v>
      </c>
      <c r="G12" s="22">
        <v>10</v>
      </c>
      <c r="H12" s="24">
        <v>1</v>
      </c>
      <c r="I12" s="22">
        <f t="shared" si="0"/>
        <v>10</v>
      </c>
      <c r="J12" s="23"/>
      <c r="L12" s="18" t="s">
        <v>44</v>
      </c>
      <c r="M12" s="18" t="s">
        <v>16</v>
      </c>
      <c r="N12" s="18" t="s">
        <v>51</v>
      </c>
    </row>
    <row r="13" spans="1:14" ht="47.25">
      <c r="A13" s="18">
        <v>10</v>
      </c>
      <c r="B13" s="19" t="s">
        <v>43</v>
      </c>
      <c r="C13" s="23" t="s">
        <v>144</v>
      </c>
      <c r="D13" s="23" t="s">
        <v>69</v>
      </c>
      <c r="E13" s="26">
        <v>46252</v>
      </c>
      <c r="F13" s="22" t="s">
        <v>15</v>
      </c>
      <c r="G13" s="22">
        <v>10</v>
      </c>
      <c r="H13" s="24">
        <v>1</v>
      </c>
      <c r="I13" s="22">
        <f t="shared" si="0"/>
        <v>10</v>
      </c>
      <c r="J13" s="23"/>
      <c r="L13" s="18" t="s">
        <v>44</v>
      </c>
      <c r="M13" s="18" t="s">
        <v>16</v>
      </c>
      <c r="N13" s="18" t="s">
        <v>51</v>
      </c>
    </row>
    <row r="14" spans="1:14" ht="47.25">
      <c r="A14" s="18">
        <v>11</v>
      </c>
      <c r="B14" s="19" t="s">
        <v>43</v>
      </c>
      <c r="C14" s="23" t="s">
        <v>79</v>
      </c>
      <c r="D14" s="23" t="s">
        <v>67</v>
      </c>
      <c r="E14" s="26">
        <v>46259</v>
      </c>
      <c r="F14" s="22" t="s">
        <v>15</v>
      </c>
      <c r="G14" s="22">
        <v>10</v>
      </c>
      <c r="H14" s="24">
        <v>1</v>
      </c>
      <c r="I14" s="22">
        <f t="shared" si="0"/>
        <v>10</v>
      </c>
      <c r="J14" s="23"/>
      <c r="L14" s="18" t="s">
        <v>44</v>
      </c>
      <c r="M14" s="18" t="s">
        <v>16</v>
      </c>
      <c r="N14" s="18" t="s">
        <v>51</v>
      </c>
    </row>
    <row r="15" spans="1:14" ht="63">
      <c r="A15" s="18">
        <v>12</v>
      </c>
      <c r="B15" s="19" t="s">
        <v>43</v>
      </c>
      <c r="C15" s="23" t="s">
        <v>80</v>
      </c>
      <c r="D15" s="23" t="s">
        <v>67</v>
      </c>
      <c r="E15" s="26">
        <v>46260</v>
      </c>
      <c r="F15" s="22" t="s">
        <v>15</v>
      </c>
      <c r="G15" s="22">
        <v>10</v>
      </c>
      <c r="H15" s="24">
        <v>1</v>
      </c>
      <c r="I15" s="22">
        <f t="shared" si="0"/>
        <v>10</v>
      </c>
      <c r="J15" s="23"/>
      <c r="L15" s="18" t="s">
        <v>44</v>
      </c>
      <c r="M15" s="18" t="s">
        <v>16</v>
      </c>
      <c r="N15" s="18" t="s">
        <v>51</v>
      </c>
    </row>
    <row r="16" spans="1:14" ht="47.25">
      <c r="A16" s="18">
        <v>13</v>
      </c>
      <c r="B16" s="19" t="s">
        <v>43</v>
      </c>
      <c r="C16" s="23" t="s">
        <v>81</v>
      </c>
      <c r="D16" s="23" t="s">
        <v>67</v>
      </c>
      <c r="E16" s="26">
        <v>46255</v>
      </c>
      <c r="F16" s="22" t="s">
        <v>15</v>
      </c>
      <c r="G16" s="22">
        <v>10</v>
      </c>
      <c r="H16" s="24">
        <v>1.2</v>
      </c>
      <c r="I16" s="22">
        <f t="shared" si="0"/>
        <v>12</v>
      </c>
      <c r="J16" s="23"/>
      <c r="L16" s="18" t="s">
        <v>44</v>
      </c>
      <c r="M16" s="18" t="s">
        <v>16</v>
      </c>
      <c r="N16" s="18" t="s">
        <v>51</v>
      </c>
    </row>
    <row r="17" spans="1:14" ht="47.25">
      <c r="A17" s="18">
        <v>14</v>
      </c>
      <c r="B17" s="19" t="s">
        <v>43</v>
      </c>
      <c r="C17" s="23" t="s">
        <v>82</v>
      </c>
      <c r="D17" s="23" t="s">
        <v>67</v>
      </c>
      <c r="E17" s="26">
        <v>46233</v>
      </c>
      <c r="F17" s="22" t="s">
        <v>17</v>
      </c>
      <c r="G17" s="22">
        <v>12</v>
      </c>
      <c r="H17" s="24">
        <v>1.2</v>
      </c>
      <c r="I17" s="22">
        <f t="shared" si="0"/>
        <v>14.399999999999999</v>
      </c>
      <c r="J17" s="23"/>
      <c r="L17" s="18" t="s">
        <v>44</v>
      </c>
      <c r="M17" s="18" t="s">
        <v>16</v>
      </c>
      <c r="N17" s="18" t="s">
        <v>51</v>
      </c>
    </row>
    <row r="18" spans="1:14" ht="47.25">
      <c r="A18" s="18">
        <v>15</v>
      </c>
      <c r="B18" s="19" t="s">
        <v>43</v>
      </c>
      <c r="C18" s="23" t="s">
        <v>83</v>
      </c>
      <c r="D18" s="23" t="s">
        <v>67</v>
      </c>
      <c r="E18" s="26">
        <v>46234</v>
      </c>
      <c r="F18" s="22" t="s">
        <v>15</v>
      </c>
      <c r="G18" s="22">
        <v>10</v>
      </c>
      <c r="H18" s="24">
        <v>1</v>
      </c>
      <c r="I18" s="22">
        <f t="shared" si="0"/>
        <v>10</v>
      </c>
      <c r="J18" s="23"/>
      <c r="L18" s="18" t="s">
        <v>44</v>
      </c>
      <c r="M18" s="18" t="s">
        <v>16</v>
      </c>
      <c r="N18" s="18" t="s">
        <v>51</v>
      </c>
    </row>
    <row r="19" spans="1:14" ht="47.25">
      <c r="A19" s="18">
        <v>16</v>
      </c>
      <c r="B19" s="19" t="s">
        <v>43</v>
      </c>
      <c r="C19" s="23" t="s">
        <v>84</v>
      </c>
      <c r="D19" s="23" t="s">
        <v>65</v>
      </c>
      <c r="E19" s="26">
        <v>46283</v>
      </c>
      <c r="F19" s="22" t="s">
        <v>15</v>
      </c>
      <c r="G19" s="22">
        <v>10</v>
      </c>
      <c r="H19" s="24">
        <v>1</v>
      </c>
      <c r="I19" s="22">
        <f t="shared" si="0"/>
        <v>10</v>
      </c>
      <c r="J19" s="23"/>
      <c r="L19" s="18" t="s">
        <v>44</v>
      </c>
      <c r="M19" s="18" t="s">
        <v>16</v>
      </c>
      <c r="N19" s="18" t="s">
        <v>51</v>
      </c>
    </row>
    <row r="20" spans="1:14" ht="47.25">
      <c r="A20" s="18">
        <v>17</v>
      </c>
      <c r="B20" s="19" t="s">
        <v>43</v>
      </c>
      <c r="C20" s="23" t="s">
        <v>85</v>
      </c>
      <c r="D20" s="23" t="s">
        <v>67</v>
      </c>
      <c r="E20" s="26">
        <v>46260</v>
      </c>
      <c r="F20" s="22" t="s">
        <v>15</v>
      </c>
      <c r="G20" s="22">
        <v>10</v>
      </c>
      <c r="H20" s="24">
        <v>1</v>
      </c>
      <c r="I20" s="22">
        <f t="shared" si="0"/>
        <v>10</v>
      </c>
      <c r="J20" s="23"/>
      <c r="L20" s="18" t="s">
        <v>44</v>
      </c>
      <c r="M20" s="18" t="s">
        <v>16</v>
      </c>
      <c r="N20" s="18" t="s">
        <v>51</v>
      </c>
    </row>
    <row r="21" spans="1:14" ht="47.25">
      <c r="A21" s="18">
        <v>18</v>
      </c>
      <c r="B21" s="19" t="s">
        <v>43</v>
      </c>
      <c r="C21" s="23" t="s">
        <v>86</v>
      </c>
      <c r="D21" s="23" t="s">
        <v>65</v>
      </c>
      <c r="E21" s="26">
        <v>46262</v>
      </c>
      <c r="F21" s="22" t="s">
        <v>15</v>
      </c>
      <c r="G21" s="22">
        <v>10</v>
      </c>
      <c r="H21" s="24">
        <v>1.2</v>
      </c>
      <c r="I21" s="22">
        <f t="shared" si="0"/>
        <v>12</v>
      </c>
      <c r="J21" s="23"/>
      <c r="L21" s="18" t="s">
        <v>44</v>
      </c>
      <c r="M21" s="18" t="s">
        <v>16</v>
      </c>
      <c r="N21" s="18" t="s">
        <v>51</v>
      </c>
    </row>
    <row r="22" spans="1:14" ht="47.25">
      <c r="A22" s="18">
        <v>19</v>
      </c>
      <c r="B22" s="19" t="s">
        <v>43</v>
      </c>
      <c r="C22" s="25" t="s">
        <v>87</v>
      </c>
      <c r="D22" s="23" t="s">
        <v>67</v>
      </c>
      <c r="E22" s="26">
        <v>46268</v>
      </c>
      <c r="F22" s="22" t="s">
        <v>15</v>
      </c>
      <c r="G22" s="22">
        <v>10</v>
      </c>
      <c r="H22" s="24">
        <v>1</v>
      </c>
      <c r="I22" s="22">
        <f t="shared" si="0"/>
        <v>10</v>
      </c>
      <c r="J22" s="23"/>
      <c r="L22" s="18" t="s">
        <v>44</v>
      </c>
      <c r="M22" s="18" t="s">
        <v>16</v>
      </c>
      <c r="N22" s="18" t="s">
        <v>51</v>
      </c>
    </row>
    <row r="23" spans="1:14" ht="47.25">
      <c r="A23" s="18">
        <v>20</v>
      </c>
      <c r="B23" s="19" t="s">
        <v>43</v>
      </c>
      <c r="C23" s="23" t="s">
        <v>88</v>
      </c>
      <c r="D23" s="23" t="s">
        <v>67</v>
      </c>
      <c r="E23" s="26">
        <v>46213</v>
      </c>
      <c r="F23" s="22" t="s">
        <v>15</v>
      </c>
      <c r="G23" s="22">
        <v>10</v>
      </c>
      <c r="H23" s="24">
        <v>1</v>
      </c>
      <c r="I23" s="22">
        <f t="shared" si="0"/>
        <v>10</v>
      </c>
      <c r="L23" s="18" t="s">
        <v>44</v>
      </c>
      <c r="M23" s="18" t="s">
        <v>16</v>
      </c>
      <c r="N23" s="18" t="s">
        <v>51</v>
      </c>
    </row>
    <row r="24" spans="1:14" ht="47.25">
      <c r="A24" s="18">
        <v>21</v>
      </c>
      <c r="B24" s="19" t="s">
        <v>43</v>
      </c>
      <c r="C24" s="23" t="s">
        <v>89</v>
      </c>
      <c r="D24" s="23" t="s">
        <v>67</v>
      </c>
      <c r="E24" s="26">
        <v>46218</v>
      </c>
      <c r="F24" s="22" t="s">
        <v>17</v>
      </c>
      <c r="G24" s="22">
        <v>12</v>
      </c>
      <c r="H24" s="24">
        <v>1.2</v>
      </c>
      <c r="I24" s="22">
        <f t="shared" si="0"/>
        <v>14.399999999999999</v>
      </c>
      <c r="L24" s="18" t="s">
        <v>44</v>
      </c>
      <c r="M24" s="18" t="s">
        <v>16</v>
      </c>
      <c r="N24" s="18" t="s">
        <v>51</v>
      </c>
    </row>
    <row r="25" spans="1:14" ht="47.25">
      <c r="A25" s="18">
        <v>22</v>
      </c>
      <c r="B25" s="19" t="s">
        <v>43</v>
      </c>
      <c r="C25" s="23" t="s">
        <v>90</v>
      </c>
      <c r="D25" s="23" t="s">
        <v>67</v>
      </c>
      <c r="E25" s="26">
        <v>46220</v>
      </c>
      <c r="F25" s="22" t="s">
        <v>15</v>
      </c>
      <c r="G25" s="22">
        <v>10</v>
      </c>
      <c r="H25" s="24">
        <v>1</v>
      </c>
      <c r="I25" s="22">
        <f t="shared" si="0"/>
        <v>10</v>
      </c>
      <c r="L25" s="18" t="s">
        <v>44</v>
      </c>
      <c r="M25" s="18" t="s">
        <v>16</v>
      </c>
      <c r="N25" s="18" t="s">
        <v>51</v>
      </c>
    </row>
    <row r="26" spans="1:14" ht="47.25">
      <c r="A26" s="18">
        <v>23</v>
      </c>
      <c r="B26" s="19" t="s">
        <v>43</v>
      </c>
      <c r="C26" s="23" t="s">
        <v>91</v>
      </c>
      <c r="D26" s="23" t="s">
        <v>67</v>
      </c>
      <c r="E26" s="26">
        <v>46265</v>
      </c>
      <c r="F26" s="22" t="s">
        <v>15</v>
      </c>
      <c r="G26" s="22">
        <v>10</v>
      </c>
      <c r="H26" s="24">
        <v>1</v>
      </c>
      <c r="I26" s="22">
        <f t="shared" si="0"/>
        <v>10</v>
      </c>
      <c r="L26" s="18" t="s">
        <v>44</v>
      </c>
      <c r="M26" s="18" t="s">
        <v>16</v>
      </c>
      <c r="N26" s="18" t="s">
        <v>51</v>
      </c>
    </row>
    <row r="27" spans="1:14" ht="47.25">
      <c r="A27" s="18">
        <v>24</v>
      </c>
      <c r="B27" s="19" t="s">
        <v>43</v>
      </c>
      <c r="C27" s="23" t="s">
        <v>92</v>
      </c>
      <c r="D27" s="23" t="s">
        <v>65</v>
      </c>
      <c r="E27" s="26">
        <v>46259</v>
      </c>
      <c r="F27" s="22" t="s">
        <v>15</v>
      </c>
      <c r="G27" s="22">
        <v>10</v>
      </c>
      <c r="H27" s="24">
        <v>1</v>
      </c>
      <c r="I27" s="22">
        <f t="shared" si="0"/>
        <v>10</v>
      </c>
      <c r="L27" s="18" t="s">
        <v>44</v>
      </c>
      <c r="M27" s="18" t="s">
        <v>16</v>
      </c>
      <c r="N27" s="18" t="s">
        <v>51</v>
      </c>
    </row>
    <row r="28" spans="1:14" ht="47.25">
      <c r="A28" s="18">
        <v>25</v>
      </c>
      <c r="B28" s="19" t="s">
        <v>43</v>
      </c>
      <c r="C28" s="23" t="s">
        <v>93</v>
      </c>
      <c r="D28" s="23" t="s">
        <v>65</v>
      </c>
      <c r="E28" s="26">
        <v>46224</v>
      </c>
      <c r="F28" s="22" t="s">
        <v>15</v>
      </c>
      <c r="G28" s="22">
        <v>10</v>
      </c>
      <c r="H28" s="24">
        <v>1</v>
      </c>
      <c r="I28" s="22">
        <f t="shared" si="0"/>
        <v>10</v>
      </c>
      <c r="L28" s="18" t="s">
        <v>44</v>
      </c>
      <c r="M28" s="18" t="s">
        <v>16</v>
      </c>
      <c r="N28" s="18" t="s">
        <v>51</v>
      </c>
    </row>
    <row r="29" spans="1:14" ht="47.25">
      <c r="A29" s="18">
        <v>26</v>
      </c>
      <c r="B29" s="19" t="s">
        <v>43</v>
      </c>
      <c r="C29" s="23" t="s">
        <v>94</v>
      </c>
      <c r="D29" s="23" t="s">
        <v>67</v>
      </c>
      <c r="E29" s="26">
        <v>46225</v>
      </c>
      <c r="F29" s="22" t="s">
        <v>15</v>
      </c>
      <c r="G29" s="22">
        <v>10</v>
      </c>
      <c r="H29" s="24">
        <v>1</v>
      </c>
      <c r="I29" s="22">
        <f t="shared" si="0"/>
        <v>10</v>
      </c>
      <c r="L29" s="18" t="s">
        <v>44</v>
      </c>
      <c r="M29" s="18" t="s">
        <v>16</v>
      </c>
      <c r="N29" s="18" t="s">
        <v>51</v>
      </c>
    </row>
    <row r="30" spans="1:14" ht="47.25">
      <c r="A30" s="18">
        <v>27</v>
      </c>
      <c r="B30" s="19" t="s">
        <v>43</v>
      </c>
      <c r="C30" s="23" t="s">
        <v>95</v>
      </c>
      <c r="D30" s="23" t="s">
        <v>65</v>
      </c>
      <c r="E30" s="26">
        <v>46248</v>
      </c>
      <c r="F30" s="22" t="s">
        <v>15</v>
      </c>
      <c r="G30" s="22">
        <v>10</v>
      </c>
      <c r="H30" s="24">
        <v>1.2</v>
      </c>
      <c r="I30" s="22">
        <f t="shared" si="0"/>
        <v>12</v>
      </c>
      <c r="L30" s="18" t="s">
        <v>44</v>
      </c>
      <c r="M30" s="18" t="s">
        <v>16</v>
      </c>
      <c r="N30" s="18" t="s">
        <v>51</v>
      </c>
    </row>
    <row r="31" spans="1:14" ht="47.25">
      <c r="A31" s="18">
        <v>28</v>
      </c>
      <c r="B31" s="19" t="s">
        <v>43</v>
      </c>
      <c r="C31" s="23" t="s">
        <v>96</v>
      </c>
      <c r="D31" s="23" t="s">
        <v>64</v>
      </c>
      <c r="E31" s="26">
        <v>46252</v>
      </c>
      <c r="F31" s="22" t="s">
        <v>15</v>
      </c>
      <c r="G31" s="22">
        <v>10</v>
      </c>
      <c r="H31" s="24">
        <v>1</v>
      </c>
      <c r="I31" s="22">
        <f t="shared" si="0"/>
        <v>10</v>
      </c>
      <c r="L31" s="18" t="s">
        <v>44</v>
      </c>
      <c r="M31" s="18" t="s">
        <v>16</v>
      </c>
      <c r="N31" s="18" t="s">
        <v>51</v>
      </c>
    </row>
    <row r="32" spans="1:14" ht="47.25">
      <c r="A32" s="18">
        <v>29</v>
      </c>
      <c r="B32" s="19" t="s">
        <v>43</v>
      </c>
      <c r="C32" s="23" t="s">
        <v>97</v>
      </c>
      <c r="D32" s="23" t="s">
        <v>63</v>
      </c>
      <c r="E32" s="26">
        <v>46253</v>
      </c>
      <c r="F32" s="22" t="s">
        <v>15</v>
      </c>
      <c r="G32" s="22">
        <v>10</v>
      </c>
      <c r="H32" s="24">
        <v>1</v>
      </c>
      <c r="I32" s="22">
        <f t="shared" si="0"/>
        <v>10</v>
      </c>
      <c r="L32" s="18" t="s">
        <v>44</v>
      </c>
      <c r="M32" s="18" t="s">
        <v>16</v>
      </c>
      <c r="N32" s="18" t="s">
        <v>51</v>
      </c>
    </row>
    <row r="33" spans="1:14" ht="47.25">
      <c r="A33" s="18">
        <v>30</v>
      </c>
      <c r="B33" s="19" t="s">
        <v>43</v>
      </c>
      <c r="C33" s="23" t="s">
        <v>98</v>
      </c>
      <c r="D33" s="23" t="s">
        <v>67</v>
      </c>
      <c r="E33" s="26">
        <v>46259</v>
      </c>
      <c r="F33" s="22" t="s">
        <v>15</v>
      </c>
      <c r="G33" s="22">
        <v>10</v>
      </c>
      <c r="H33" s="24">
        <v>1</v>
      </c>
      <c r="I33" s="22">
        <f t="shared" si="0"/>
        <v>10</v>
      </c>
      <c r="L33" s="18" t="s">
        <v>44</v>
      </c>
      <c r="M33" s="18" t="s">
        <v>16</v>
      </c>
      <c r="N33" s="18" t="s">
        <v>51</v>
      </c>
    </row>
    <row r="34" spans="1:14" ht="47.25">
      <c r="A34" s="18">
        <v>31</v>
      </c>
      <c r="B34" s="19" t="s">
        <v>43</v>
      </c>
      <c r="C34" s="23" t="s">
        <v>99</v>
      </c>
      <c r="D34" s="23" t="s">
        <v>65</v>
      </c>
      <c r="E34" s="26">
        <v>46227</v>
      </c>
      <c r="F34" s="22" t="s">
        <v>15</v>
      </c>
      <c r="G34" s="22">
        <v>10</v>
      </c>
      <c r="H34" s="24">
        <v>1</v>
      </c>
      <c r="I34" s="22">
        <f t="shared" si="0"/>
        <v>10</v>
      </c>
      <c r="L34" s="18" t="s">
        <v>44</v>
      </c>
      <c r="M34" s="18" t="s">
        <v>16</v>
      </c>
      <c r="N34" s="18" t="s">
        <v>51</v>
      </c>
    </row>
    <row r="35" spans="1:14" ht="47.25">
      <c r="A35" s="18">
        <v>32</v>
      </c>
      <c r="B35" s="19" t="s">
        <v>43</v>
      </c>
      <c r="C35" s="23" t="s">
        <v>100</v>
      </c>
      <c r="D35" s="23" t="s">
        <v>65</v>
      </c>
      <c r="E35" s="26">
        <v>46244</v>
      </c>
      <c r="F35" s="22" t="s">
        <v>15</v>
      </c>
      <c r="G35" s="22">
        <v>10</v>
      </c>
      <c r="H35" s="24">
        <v>1</v>
      </c>
      <c r="I35" s="22">
        <f t="shared" si="0"/>
        <v>10</v>
      </c>
      <c r="L35" s="18" t="s">
        <v>44</v>
      </c>
      <c r="M35" s="18" t="s">
        <v>16</v>
      </c>
      <c r="N35" s="18" t="s">
        <v>51</v>
      </c>
    </row>
    <row r="36" spans="1:14" ht="47.25">
      <c r="A36" s="18">
        <v>33</v>
      </c>
      <c r="B36" s="19" t="s">
        <v>43</v>
      </c>
      <c r="C36" s="23" t="s">
        <v>101</v>
      </c>
      <c r="D36" s="23" t="s">
        <v>67</v>
      </c>
      <c r="E36" s="26">
        <v>46255</v>
      </c>
      <c r="F36" s="22" t="s">
        <v>15</v>
      </c>
      <c r="G36" s="22">
        <v>10</v>
      </c>
      <c r="H36" s="24">
        <v>1</v>
      </c>
      <c r="I36" s="22">
        <f t="shared" si="0"/>
        <v>10</v>
      </c>
      <c r="L36" s="18" t="s">
        <v>44</v>
      </c>
      <c r="M36" s="18" t="s">
        <v>16</v>
      </c>
      <c r="N36" s="18" t="s">
        <v>51</v>
      </c>
    </row>
    <row r="37" spans="1:14" ht="47.25">
      <c r="A37" s="18">
        <v>34</v>
      </c>
      <c r="B37" s="19" t="s">
        <v>43</v>
      </c>
      <c r="C37" s="23" t="s">
        <v>102</v>
      </c>
      <c r="D37" s="23" t="s">
        <v>68</v>
      </c>
      <c r="E37" s="26">
        <v>46260</v>
      </c>
      <c r="F37" s="22" t="s">
        <v>15</v>
      </c>
      <c r="G37" s="22">
        <v>10</v>
      </c>
      <c r="H37" s="24">
        <v>1</v>
      </c>
      <c r="I37" s="22">
        <f t="shared" si="0"/>
        <v>10</v>
      </c>
      <c r="L37" s="18" t="s">
        <v>44</v>
      </c>
      <c r="M37" s="18" t="s">
        <v>16</v>
      </c>
      <c r="N37" s="18" t="s">
        <v>51</v>
      </c>
    </row>
    <row r="38" spans="1:14" ht="47.25">
      <c r="A38" s="18">
        <v>35</v>
      </c>
      <c r="B38" s="19" t="s">
        <v>43</v>
      </c>
      <c r="C38" s="23" t="s">
        <v>103</v>
      </c>
      <c r="D38" s="23" t="s">
        <v>67</v>
      </c>
      <c r="E38" s="26">
        <v>46262</v>
      </c>
      <c r="F38" s="22" t="s">
        <v>15</v>
      </c>
      <c r="G38" s="22">
        <v>10</v>
      </c>
      <c r="H38" s="24">
        <v>1.2</v>
      </c>
      <c r="I38" s="22">
        <f t="shared" si="0"/>
        <v>12</v>
      </c>
      <c r="L38" s="18" t="s">
        <v>44</v>
      </c>
      <c r="M38" s="18" t="s">
        <v>16</v>
      </c>
      <c r="N38" s="18" t="s">
        <v>51</v>
      </c>
    </row>
    <row r="39" spans="1:14" ht="47.25">
      <c r="A39" s="18">
        <v>36</v>
      </c>
      <c r="B39" s="19" t="s">
        <v>43</v>
      </c>
      <c r="C39" s="23" t="s">
        <v>104</v>
      </c>
      <c r="D39" s="23" t="s">
        <v>69</v>
      </c>
      <c r="E39" s="26">
        <v>46270</v>
      </c>
      <c r="F39" s="22" t="s">
        <v>15</v>
      </c>
      <c r="G39" s="22">
        <v>10</v>
      </c>
      <c r="H39" s="24">
        <v>1</v>
      </c>
      <c r="I39" s="22">
        <f t="shared" si="0"/>
        <v>10</v>
      </c>
      <c r="L39" s="18" t="s">
        <v>44</v>
      </c>
      <c r="M39" s="18" t="s">
        <v>16</v>
      </c>
      <c r="N39" s="18" t="s">
        <v>51</v>
      </c>
    </row>
    <row r="40" spans="1:14" ht="47.25">
      <c r="A40" s="18">
        <v>37</v>
      </c>
      <c r="B40" s="19" t="s">
        <v>43</v>
      </c>
      <c r="C40" s="23" t="s">
        <v>105</v>
      </c>
      <c r="D40" s="23" t="s">
        <v>65</v>
      </c>
      <c r="E40" s="26">
        <v>46295</v>
      </c>
      <c r="F40" s="22" t="s">
        <v>15</v>
      </c>
      <c r="G40" s="22">
        <v>10</v>
      </c>
      <c r="H40" s="24">
        <v>1</v>
      </c>
      <c r="I40" s="22">
        <f t="shared" si="0"/>
        <v>10</v>
      </c>
      <c r="L40" s="18" t="s">
        <v>44</v>
      </c>
      <c r="M40" s="18" t="s">
        <v>16</v>
      </c>
      <c r="N40" s="18" t="s">
        <v>51</v>
      </c>
    </row>
    <row r="41" spans="1:14" ht="47.25">
      <c r="A41" s="18">
        <v>38</v>
      </c>
      <c r="B41" s="19" t="s">
        <v>43</v>
      </c>
      <c r="C41" s="23" t="s">
        <v>106</v>
      </c>
      <c r="D41" s="23" t="s">
        <v>65</v>
      </c>
      <c r="E41" s="26">
        <v>46295</v>
      </c>
      <c r="F41" s="22" t="s">
        <v>17</v>
      </c>
      <c r="G41" s="22">
        <v>12</v>
      </c>
      <c r="H41" s="24">
        <v>1.2</v>
      </c>
      <c r="I41" s="22">
        <f t="shared" si="0"/>
        <v>14.399999999999999</v>
      </c>
      <c r="L41" s="18" t="s">
        <v>44</v>
      </c>
      <c r="M41" s="18" t="s">
        <v>16</v>
      </c>
      <c r="N41" s="18" t="s">
        <v>51</v>
      </c>
    </row>
    <row r="42" spans="1:14" ht="47.25">
      <c r="A42" s="18">
        <v>39</v>
      </c>
      <c r="B42" s="19" t="s">
        <v>43</v>
      </c>
      <c r="C42" s="23" t="s">
        <v>107</v>
      </c>
      <c r="D42" s="23" t="s">
        <v>65</v>
      </c>
      <c r="E42" s="26">
        <v>46262</v>
      </c>
      <c r="F42" s="22" t="s">
        <v>15</v>
      </c>
      <c r="G42" s="22">
        <v>10</v>
      </c>
      <c r="H42" s="24">
        <v>1.2</v>
      </c>
      <c r="I42" s="22">
        <f t="shared" si="0"/>
        <v>12</v>
      </c>
      <c r="L42" s="18" t="s">
        <v>44</v>
      </c>
      <c r="M42" s="18" t="s">
        <v>16</v>
      </c>
      <c r="N42" s="18" t="s">
        <v>51</v>
      </c>
    </row>
    <row r="43" spans="1:14" ht="47.25">
      <c r="A43" s="18">
        <v>40</v>
      </c>
      <c r="B43" s="19" t="s">
        <v>43</v>
      </c>
      <c r="C43" s="23" t="s">
        <v>108</v>
      </c>
      <c r="D43" s="23" t="s">
        <v>65</v>
      </c>
      <c r="E43" s="26">
        <v>46264</v>
      </c>
      <c r="F43" s="22" t="s">
        <v>15</v>
      </c>
      <c r="G43" s="22">
        <v>10</v>
      </c>
      <c r="H43" s="24">
        <v>1.2</v>
      </c>
      <c r="I43" s="22">
        <f t="shared" si="0"/>
        <v>12</v>
      </c>
      <c r="L43" s="18" t="s">
        <v>44</v>
      </c>
      <c r="M43" s="18" t="s">
        <v>16</v>
      </c>
      <c r="N43" s="18" t="s">
        <v>51</v>
      </c>
    </row>
    <row r="44" spans="1:14" ht="47.25">
      <c r="A44" s="18">
        <v>41</v>
      </c>
      <c r="B44" s="19" t="s">
        <v>43</v>
      </c>
      <c r="C44" s="23" t="s">
        <v>109</v>
      </c>
      <c r="D44" s="23" t="s">
        <v>65</v>
      </c>
      <c r="E44" s="26">
        <v>46262</v>
      </c>
      <c r="F44" s="22" t="s">
        <v>17</v>
      </c>
      <c r="G44" s="22">
        <v>12</v>
      </c>
      <c r="H44" s="24">
        <v>1</v>
      </c>
      <c r="I44" s="22">
        <f t="shared" si="0"/>
        <v>12</v>
      </c>
      <c r="L44" s="18" t="s">
        <v>44</v>
      </c>
      <c r="M44" s="18" t="s">
        <v>16</v>
      </c>
      <c r="N44" s="18" t="s">
        <v>51</v>
      </c>
    </row>
    <row r="45" spans="1:14" ht="47.25">
      <c r="A45" s="18">
        <v>42</v>
      </c>
      <c r="B45" s="19" t="s">
        <v>43</v>
      </c>
      <c r="C45" s="23" t="s">
        <v>110</v>
      </c>
      <c r="D45" s="23" t="s">
        <v>65</v>
      </c>
      <c r="E45" s="26">
        <v>46262</v>
      </c>
      <c r="F45" s="22" t="s">
        <v>15</v>
      </c>
      <c r="G45" s="22">
        <v>10</v>
      </c>
      <c r="H45" s="24">
        <v>1</v>
      </c>
      <c r="I45" s="22">
        <f t="shared" si="0"/>
        <v>10</v>
      </c>
      <c r="L45" s="18" t="s">
        <v>44</v>
      </c>
      <c r="M45" s="18" t="s">
        <v>16</v>
      </c>
      <c r="N45" s="18" t="s">
        <v>51</v>
      </c>
    </row>
    <row r="46" spans="1:14" ht="47.25">
      <c r="A46" s="18">
        <v>43</v>
      </c>
      <c r="B46" s="19" t="s">
        <v>43</v>
      </c>
      <c r="C46" s="23" t="s">
        <v>111</v>
      </c>
      <c r="D46" s="23" t="s">
        <v>63</v>
      </c>
      <c r="E46" s="26">
        <v>46233</v>
      </c>
      <c r="F46" s="22" t="s">
        <v>15</v>
      </c>
      <c r="G46" s="22">
        <v>10</v>
      </c>
      <c r="H46" s="24">
        <v>1</v>
      </c>
      <c r="I46" s="22">
        <f t="shared" si="0"/>
        <v>10</v>
      </c>
      <c r="L46" s="18" t="s">
        <v>44</v>
      </c>
      <c r="M46" s="18" t="s">
        <v>16</v>
      </c>
      <c r="N46" s="18" t="s">
        <v>51</v>
      </c>
    </row>
    <row r="47" spans="1:14" ht="47.25">
      <c r="A47" s="18">
        <v>44</v>
      </c>
      <c r="B47" s="19" t="s">
        <v>43</v>
      </c>
      <c r="C47" s="23" t="s">
        <v>112</v>
      </c>
      <c r="D47" s="23" t="s">
        <v>63</v>
      </c>
      <c r="E47" s="26">
        <v>46204</v>
      </c>
      <c r="F47" s="22" t="s">
        <v>17</v>
      </c>
      <c r="G47" s="22">
        <v>12</v>
      </c>
      <c r="H47" s="24">
        <v>1</v>
      </c>
      <c r="I47" s="22">
        <f t="shared" si="0"/>
        <v>12</v>
      </c>
      <c r="L47" s="18" t="s">
        <v>44</v>
      </c>
      <c r="M47" s="18" t="s">
        <v>16</v>
      </c>
      <c r="N47" s="18" t="s">
        <v>51</v>
      </c>
    </row>
    <row r="48" spans="1:14" ht="47.25">
      <c r="A48" s="18">
        <v>45</v>
      </c>
      <c r="B48" s="19" t="s">
        <v>43</v>
      </c>
      <c r="C48" s="23" t="s">
        <v>113</v>
      </c>
      <c r="D48" s="23" t="s">
        <v>63</v>
      </c>
      <c r="E48" s="26">
        <v>46206</v>
      </c>
      <c r="F48" s="22" t="s">
        <v>17</v>
      </c>
      <c r="G48" s="22">
        <v>12</v>
      </c>
      <c r="H48" s="24">
        <v>1</v>
      </c>
      <c r="I48" s="22">
        <f t="shared" si="0"/>
        <v>12</v>
      </c>
      <c r="L48" s="18" t="s">
        <v>44</v>
      </c>
      <c r="M48" s="18" t="s">
        <v>16</v>
      </c>
      <c r="N48" s="18" t="s">
        <v>51</v>
      </c>
    </row>
    <row r="49" spans="1:14" ht="47.25">
      <c r="A49" s="18">
        <v>46</v>
      </c>
      <c r="B49" s="19" t="s">
        <v>43</v>
      </c>
      <c r="C49" s="23" t="s">
        <v>113</v>
      </c>
      <c r="D49" s="23" t="s">
        <v>63</v>
      </c>
      <c r="E49" s="26">
        <v>46211</v>
      </c>
      <c r="F49" s="22" t="s">
        <v>17</v>
      </c>
      <c r="G49" s="22">
        <v>12</v>
      </c>
      <c r="H49" s="24">
        <v>1</v>
      </c>
      <c r="I49" s="22">
        <f t="shared" si="0"/>
        <v>12</v>
      </c>
      <c r="L49" s="18" t="s">
        <v>44</v>
      </c>
      <c r="M49" s="18" t="s">
        <v>16</v>
      </c>
      <c r="N49" s="18" t="s">
        <v>51</v>
      </c>
    </row>
    <row r="50" spans="1:14" ht="47.25">
      <c r="A50" s="18">
        <v>47</v>
      </c>
      <c r="B50" s="19" t="s">
        <v>43</v>
      </c>
      <c r="C50" s="23" t="s">
        <v>114</v>
      </c>
      <c r="D50" s="23" t="s">
        <v>67</v>
      </c>
      <c r="E50" s="26">
        <v>46212</v>
      </c>
      <c r="F50" s="22" t="s">
        <v>15</v>
      </c>
      <c r="G50" s="22">
        <v>10</v>
      </c>
      <c r="H50" s="24">
        <v>1</v>
      </c>
      <c r="I50" s="22">
        <f t="shared" si="0"/>
        <v>10</v>
      </c>
      <c r="L50" s="18" t="s">
        <v>44</v>
      </c>
      <c r="M50" s="18" t="s">
        <v>16</v>
      </c>
      <c r="N50" s="18" t="s">
        <v>51</v>
      </c>
    </row>
    <row r="51" spans="1:14" ht="47.25">
      <c r="A51" s="18">
        <v>48</v>
      </c>
      <c r="B51" s="19" t="s">
        <v>43</v>
      </c>
      <c r="C51" s="23" t="s">
        <v>115</v>
      </c>
      <c r="D51" s="23" t="s">
        <v>63</v>
      </c>
      <c r="E51" s="26">
        <v>46224</v>
      </c>
      <c r="F51" s="22" t="s">
        <v>15</v>
      </c>
      <c r="G51" s="22">
        <v>10</v>
      </c>
      <c r="H51" s="24">
        <v>1</v>
      </c>
      <c r="I51" s="22">
        <f t="shared" si="0"/>
        <v>10</v>
      </c>
      <c r="L51" s="18" t="s">
        <v>44</v>
      </c>
      <c r="M51" s="18" t="s">
        <v>16</v>
      </c>
      <c r="N51" s="18" t="s">
        <v>51</v>
      </c>
    </row>
    <row r="52" spans="1:14" ht="47.25">
      <c r="A52" s="18">
        <v>49</v>
      </c>
      <c r="B52" s="19" t="s">
        <v>43</v>
      </c>
      <c r="C52" s="23" t="s">
        <v>113</v>
      </c>
      <c r="D52" s="23" t="s">
        <v>63</v>
      </c>
      <c r="E52" s="26">
        <v>46236</v>
      </c>
      <c r="F52" s="22" t="s">
        <v>15</v>
      </c>
      <c r="G52" s="22">
        <v>10</v>
      </c>
      <c r="H52" s="24">
        <v>1</v>
      </c>
      <c r="I52" s="22">
        <f t="shared" si="0"/>
        <v>10</v>
      </c>
      <c r="L52" s="18" t="s">
        <v>44</v>
      </c>
      <c r="M52" s="18" t="s">
        <v>16</v>
      </c>
      <c r="N52" s="18" t="s">
        <v>51</v>
      </c>
    </row>
    <row r="53" spans="1:14" ht="47.25">
      <c r="A53" s="18">
        <v>50</v>
      </c>
      <c r="B53" s="19" t="s">
        <v>43</v>
      </c>
      <c r="C53" s="23" t="s">
        <v>116</v>
      </c>
      <c r="D53" s="23" t="s">
        <v>65</v>
      </c>
      <c r="E53" s="26">
        <v>46244</v>
      </c>
      <c r="F53" s="22" t="s">
        <v>15</v>
      </c>
      <c r="G53" s="22">
        <v>10</v>
      </c>
      <c r="H53" s="24">
        <v>1</v>
      </c>
      <c r="I53" s="22">
        <f t="shared" si="0"/>
        <v>10</v>
      </c>
      <c r="L53" s="18" t="s">
        <v>44</v>
      </c>
      <c r="M53" s="18" t="s">
        <v>16</v>
      </c>
      <c r="N53" s="18" t="s">
        <v>51</v>
      </c>
    </row>
    <row r="54" spans="1:14" ht="47.25">
      <c r="A54" s="18">
        <v>51</v>
      </c>
      <c r="B54" s="19" t="s">
        <v>43</v>
      </c>
      <c r="C54" s="23" t="s">
        <v>117</v>
      </c>
      <c r="D54" s="23" t="s">
        <v>65</v>
      </c>
      <c r="E54" s="26">
        <v>46259</v>
      </c>
      <c r="F54" s="22" t="s">
        <v>15</v>
      </c>
      <c r="G54" s="22">
        <v>10</v>
      </c>
      <c r="H54" s="24">
        <v>1.2</v>
      </c>
      <c r="I54" s="22">
        <f t="shared" si="0"/>
        <v>12</v>
      </c>
      <c r="L54" s="18" t="s">
        <v>44</v>
      </c>
      <c r="M54" s="18" t="s">
        <v>16</v>
      </c>
      <c r="N54" s="18" t="s">
        <v>51</v>
      </c>
    </row>
    <row r="55" spans="1:14" ht="47.25">
      <c r="A55" s="18">
        <v>52</v>
      </c>
      <c r="B55" s="19" t="s">
        <v>43</v>
      </c>
      <c r="C55" s="23" t="s">
        <v>118</v>
      </c>
      <c r="D55" s="23" t="s">
        <v>65</v>
      </c>
      <c r="E55" s="26">
        <v>46268</v>
      </c>
      <c r="F55" s="22" t="s">
        <v>15</v>
      </c>
      <c r="G55" s="22">
        <v>10</v>
      </c>
      <c r="H55" s="24">
        <v>1.2</v>
      </c>
      <c r="I55" s="22">
        <f t="shared" si="0"/>
        <v>12</v>
      </c>
      <c r="L55" s="18" t="s">
        <v>44</v>
      </c>
      <c r="M55" s="18" t="s">
        <v>16</v>
      </c>
      <c r="N55" s="18" t="s">
        <v>51</v>
      </c>
    </row>
    <row r="56" spans="1:14" ht="47.25">
      <c r="A56" s="18">
        <v>53</v>
      </c>
      <c r="B56" s="19" t="s">
        <v>43</v>
      </c>
      <c r="C56" s="23" t="s">
        <v>119</v>
      </c>
      <c r="D56" s="23" t="s">
        <v>65</v>
      </c>
      <c r="E56" s="26">
        <v>46203</v>
      </c>
      <c r="F56" s="22" t="s">
        <v>15</v>
      </c>
      <c r="G56" s="22">
        <v>10</v>
      </c>
      <c r="H56" s="24">
        <v>1.2</v>
      </c>
      <c r="I56" s="22">
        <f t="shared" si="0"/>
        <v>12</v>
      </c>
      <c r="L56" s="18" t="s">
        <v>44</v>
      </c>
      <c r="M56" s="18" t="s">
        <v>16</v>
      </c>
      <c r="N56" s="18" t="s">
        <v>51</v>
      </c>
    </row>
    <row r="57" spans="1:14" ht="47.25">
      <c r="A57" s="18">
        <v>54</v>
      </c>
      <c r="B57" s="19" t="s">
        <v>43</v>
      </c>
      <c r="C57" s="23" t="s">
        <v>120</v>
      </c>
      <c r="D57" s="23" t="s">
        <v>65</v>
      </c>
      <c r="E57" s="26">
        <v>46233</v>
      </c>
      <c r="F57" s="22" t="s">
        <v>15</v>
      </c>
      <c r="G57" s="22">
        <v>10</v>
      </c>
      <c r="H57" s="24">
        <v>1.2</v>
      </c>
      <c r="I57" s="22">
        <f t="shared" si="0"/>
        <v>12</v>
      </c>
      <c r="L57" s="18" t="s">
        <v>44</v>
      </c>
      <c r="M57" s="18" t="s">
        <v>16</v>
      </c>
      <c r="N57" s="18" t="s">
        <v>51</v>
      </c>
    </row>
    <row r="58" spans="1:14" ht="47.25">
      <c r="A58" s="18">
        <v>55</v>
      </c>
      <c r="B58" s="19" t="s">
        <v>43</v>
      </c>
      <c r="C58" s="23" t="s">
        <v>121</v>
      </c>
      <c r="D58" s="23" t="s">
        <v>65</v>
      </c>
      <c r="E58" s="26">
        <v>46241</v>
      </c>
      <c r="F58" s="22" t="s">
        <v>17</v>
      </c>
      <c r="G58" s="22">
        <v>12</v>
      </c>
      <c r="H58" s="24">
        <v>1.2</v>
      </c>
      <c r="I58" s="22">
        <f t="shared" si="0"/>
        <v>14.399999999999999</v>
      </c>
      <c r="L58" s="18" t="s">
        <v>44</v>
      </c>
      <c r="M58" s="18" t="s">
        <v>16</v>
      </c>
      <c r="N58" s="18" t="s">
        <v>51</v>
      </c>
    </row>
    <row r="59" spans="1:14" ht="47.25">
      <c r="A59" s="18">
        <v>56</v>
      </c>
      <c r="B59" s="19" t="s">
        <v>43</v>
      </c>
      <c r="C59" s="23" t="s">
        <v>122</v>
      </c>
      <c r="D59" s="23" t="s">
        <v>65</v>
      </c>
      <c r="E59" s="26">
        <v>46246</v>
      </c>
      <c r="F59" s="22" t="s">
        <v>15</v>
      </c>
      <c r="G59" s="22">
        <v>10</v>
      </c>
      <c r="H59" s="24">
        <v>1</v>
      </c>
      <c r="I59" s="22">
        <f t="shared" si="0"/>
        <v>10</v>
      </c>
      <c r="L59" s="18" t="s">
        <v>44</v>
      </c>
      <c r="M59" s="18" t="s">
        <v>16</v>
      </c>
      <c r="N59" s="18" t="s">
        <v>51</v>
      </c>
    </row>
    <row r="60" spans="1:14" ht="47.25">
      <c r="A60" s="18">
        <v>57</v>
      </c>
      <c r="B60" s="19" t="s">
        <v>43</v>
      </c>
      <c r="C60" s="23" t="s">
        <v>123</v>
      </c>
      <c r="D60" s="23" t="s">
        <v>65</v>
      </c>
      <c r="E60" s="26">
        <v>46290</v>
      </c>
      <c r="F60" s="22" t="s">
        <v>15</v>
      </c>
      <c r="G60" s="22">
        <v>10</v>
      </c>
      <c r="H60" s="24">
        <v>1</v>
      </c>
      <c r="I60" s="22">
        <f t="shared" si="0"/>
        <v>10</v>
      </c>
      <c r="L60" s="18" t="s">
        <v>44</v>
      </c>
      <c r="M60" s="18" t="s">
        <v>16</v>
      </c>
      <c r="N60" s="18" t="s">
        <v>51</v>
      </c>
    </row>
    <row r="61" spans="1:14" ht="47.25">
      <c r="A61" s="18">
        <v>58</v>
      </c>
      <c r="B61" s="19" t="s">
        <v>43</v>
      </c>
      <c r="C61" s="23" t="s">
        <v>124</v>
      </c>
      <c r="D61" s="23" t="s">
        <v>63</v>
      </c>
      <c r="E61" s="26">
        <v>46225</v>
      </c>
      <c r="F61" s="22" t="s">
        <v>15</v>
      </c>
      <c r="G61" s="22">
        <v>10</v>
      </c>
      <c r="H61" s="24">
        <v>1</v>
      </c>
      <c r="I61" s="22">
        <f t="shared" si="0"/>
        <v>10</v>
      </c>
      <c r="L61" s="18" t="s">
        <v>45</v>
      </c>
      <c r="M61" s="18" t="s">
        <v>16</v>
      </c>
      <c r="N61" s="18" t="s">
        <v>51</v>
      </c>
    </row>
    <row r="62" spans="1:14" ht="47.25">
      <c r="A62" s="18">
        <v>59</v>
      </c>
      <c r="B62" s="19" t="s">
        <v>43</v>
      </c>
      <c r="C62" s="23" t="s">
        <v>125</v>
      </c>
      <c r="D62" s="23" t="s">
        <v>68</v>
      </c>
      <c r="E62" s="26">
        <v>46204</v>
      </c>
      <c r="F62" s="22" t="s">
        <v>15</v>
      </c>
      <c r="G62" s="22">
        <v>10</v>
      </c>
      <c r="H62" s="24">
        <v>1.2</v>
      </c>
      <c r="I62" s="22">
        <f t="shared" si="0"/>
        <v>12</v>
      </c>
      <c r="L62" s="18" t="s">
        <v>45</v>
      </c>
      <c r="M62" s="18" t="s">
        <v>16</v>
      </c>
      <c r="N62" s="18" t="s">
        <v>51</v>
      </c>
    </row>
    <row r="63" spans="1:14" ht="47.25">
      <c r="A63" s="18">
        <v>60</v>
      </c>
      <c r="B63" s="19" t="s">
        <v>43</v>
      </c>
      <c r="C63" s="23" t="s">
        <v>126</v>
      </c>
      <c r="D63" s="23" t="s">
        <v>67</v>
      </c>
      <c r="E63" s="26">
        <v>46233</v>
      </c>
      <c r="F63" s="22" t="s">
        <v>15</v>
      </c>
      <c r="G63" s="22">
        <v>10</v>
      </c>
      <c r="H63" s="24">
        <v>1</v>
      </c>
      <c r="I63" s="22">
        <f t="shared" si="0"/>
        <v>10</v>
      </c>
      <c r="L63" s="18" t="s">
        <v>45</v>
      </c>
      <c r="M63" s="18" t="s">
        <v>16</v>
      </c>
      <c r="N63" s="18" t="s">
        <v>51</v>
      </c>
    </row>
    <row r="64" spans="1:14" ht="47.25">
      <c r="A64" s="18">
        <v>61</v>
      </c>
      <c r="B64" s="19" t="s">
        <v>43</v>
      </c>
      <c r="C64" s="23" t="s">
        <v>127</v>
      </c>
      <c r="D64" s="23" t="s">
        <v>68</v>
      </c>
      <c r="E64" s="26">
        <v>46295</v>
      </c>
      <c r="F64" s="22" t="s">
        <v>15</v>
      </c>
      <c r="G64" s="22">
        <v>10</v>
      </c>
      <c r="H64" s="24">
        <v>1.2</v>
      </c>
      <c r="I64" s="22">
        <f t="shared" si="0"/>
        <v>12</v>
      </c>
      <c r="L64" s="18" t="s">
        <v>45</v>
      </c>
      <c r="M64" s="18" t="s">
        <v>16</v>
      </c>
      <c r="N64" s="18" t="s">
        <v>51</v>
      </c>
    </row>
    <row r="65" spans="1:14" ht="47.25">
      <c r="A65" s="18">
        <v>62</v>
      </c>
      <c r="B65" s="19" t="s">
        <v>43</v>
      </c>
      <c r="C65" s="23" t="s">
        <v>128</v>
      </c>
      <c r="D65" s="23" t="s">
        <v>68</v>
      </c>
      <c r="E65" s="26">
        <v>46275</v>
      </c>
      <c r="F65" s="22" t="s">
        <v>15</v>
      </c>
      <c r="G65" s="22">
        <v>10</v>
      </c>
      <c r="H65" s="24">
        <v>1.2</v>
      </c>
      <c r="I65" s="22">
        <f t="shared" si="0"/>
        <v>12</v>
      </c>
      <c r="L65" s="18" t="s">
        <v>45</v>
      </c>
      <c r="M65" s="18" t="s">
        <v>16</v>
      </c>
      <c r="N65" s="18" t="s">
        <v>51</v>
      </c>
    </row>
    <row r="66" spans="1:14" ht="47.25">
      <c r="A66" s="18">
        <v>63</v>
      </c>
      <c r="B66" s="19" t="s">
        <v>43</v>
      </c>
      <c r="C66" s="23" t="s">
        <v>129</v>
      </c>
      <c r="D66" s="23" t="s">
        <v>68</v>
      </c>
      <c r="E66" s="26">
        <v>46268</v>
      </c>
      <c r="F66" s="22" t="s">
        <v>15</v>
      </c>
      <c r="G66" s="22">
        <v>10</v>
      </c>
      <c r="H66" s="24">
        <v>1</v>
      </c>
      <c r="I66" s="22">
        <f t="shared" si="0"/>
        <v>10</v>
      </c>
      <c r="L66" s="18" t="s">
        <v>45</v>
      </c>
      <c r="M66" s="18" t="s">
        <v>16</v>
      </c>
      <c r="N66" s="18" t="s">
        <v>51</v>
      </c>
    </row>
    <row r="67" spans="1:14" ht="47.25">
      <c r="A67" s="18">
        <v>64</v>
      </c>
      <c r="B67" s="19" t="s">
        <v>43</v>
      </c>
      <c r="C67" s="23" t="s">
        <v>130</v>
      </c>
      <c r="D67" s="23" t="s">
        <v>65</v>
      </c>
      <c r="E67" s="26">
        <v>46295</v>
      </c>
      <c r="F67" s="22" t="s">
        <v>15</v>
      </c>
      <c r="G67" s="22">
        <v>10</v>
      </c>
      <c r="H67" s="24">
        <v>1</v>
      </c>
      <c r="I67" s="22">
        <f t="shared" si="0"/>
        <v>10</v>
      </c>
      <c r="L67" s="18" t="s">
        <v>46</v>
      </c>
      <c r="M67" s="18" t="s">
        <v>16</v>
      </c>
      <c r="N67" s="18" t="s">
        <v>51</v>
      </c>
    </row>
    <row r="68" spans="1:14" ht="47.25">
      <c r="A68" s="18">
        <v>65</v>
      </c>
      <c r="B68" s="19" t="s">
        <v>43</v>
      </c>
      <c r="C68" s="23" t="s">
        <v>131</v>
      </c>
      <c r="D68" s="23" t="s">
        <v>65</v>
      </c>
      <c r="E68" s="26">
        <v>46262</v>
      </c>
      <c r="F68" s="22" t="s">
        <v>17</v>
      </c>
      <c r="G68" s="22">
        <v>12</v>
      </c>
      <c r="H68" s="24">
        <v>1</v>
      </c>
      <c r="I68" s="22">
        <f t="shared" si="0"/>
        <v>12</v>
      </c>
      <c r="L68" s="18" t="s">
        <v>46</v>
      </c>
      <c r="M68" s="18" t="s">
        <v>16</v>
      </c>
      <c r="N68" s="18" t="s">
        <v>51</v>
      </c>
    </row>
    <row r="69" spans="1:14" ht="47.25">
      <c r="A69" s="18">
        <v>66</v>
      </c>
      <c r="B69" s="19" t="s">
        <v>43</v>
      </c>
      <c r="C69" s="23" t="s">
        <v>132</v>
      </c>
      <c r="D69" s="23" t="s">
        <v>66</v>
      </c>
      <c r="E69" s="26">
        <v>46295</v>
      </c>
      <c r="F69" s="22" t="s">
        <v>15</v>
      </c>
      <c r="G69" s="22">
        <v>10</v>
      </c>
      <c r="H69" s="24">
        <v>1</v>
      </c>
      <c r="I69" s="22">
        <f t="shared" ref="I69:I81" si="1">G69*H69</f>
        <v>10</v>
      </c>
      <c r="L69" s="18" t="s">
        <v>46</v>
      </c>
      <c r="M69" s="18" t="s">
        <v>16</v>
      </c>
      <c r="N69" s="18" t="s">
        <v>51</v>
      </c>
    </row>
    <row r="70" spans="1:14" ht="47.25">
      <c r="A70" s="18">
        <v>67</v>
      </c>
      <c r="B70" s="19" t="s">
        <v>43</v>
      </c>
      <c r="C70" s="23" t="s">
        <v>133</v>
      </c>
      <c r="D70" s="23" t="s">
        <v>66</v>
      </c>
      <c r="E70" s="26">
        <v>46264</v>
      </c>
      <c r="F70" s="22" t="s">
        <v>17</v>
      </c>
      <c r="G70" s="22">
        <v>12</v>
      </c>
      <c r="H70" s="24">
        <v>1.2</v>
      </c>
      <c r="I70" s="22">
        <f t="shared" si="1"/>
        <v>14.399999999999999</v>
      </c>
      <c r="L70" s="18" t="s">
        <v>46</v>
      </c>
      <c r="M70" s="18" t="s">
        <v>16</v>
      </c>
      <c r="N70" s="18" t="s">
        <v>51</v>
      </c>
    </row>
    <row r="71" spans="1:14" ht="47.25">
      <c r="A71" s="18">
        <v>68</v>
      </c>
      <c r="B71" s="19" t="s">
        <v>43</v>
      </c>
      <c r="C71" s="23" t="s">
        <v>134</v>
      </c>
      <c r="D71" s="23" t="s">
        <v>65</v>
      </c>
      <c r="E71" s="26">
        <v>46295</v>
      </c>
      <c r="F71" s="22" t="s">
        <v>15</v>
      </c>
      <c r="G71" s="22">
        <v>10</v>
      </c>
      <c r="H71" s="24">
        <v>1</v>
      </c>
      <c r="I71" s="22">
        <f t="shared" si="1"/>
        <v>10</v>
      </c>
      <c r="L71" s="18" t="s">
        <v>46</v>
      </c>
      <c r="M71" s="18" t="s">
        <v>16</v>
      </c>
      <c r="N71" s="18" t="s">
        <v>51</v>
      </c>
    </row>
    <row r="72" spans="1:14" ht="63">
      <c r="A72" s="18">
        <v>69</v>
      </c>
      <c r="B72" s="19" t="s">
        <v>43</v>
      </c>
      <c r="C72" s="23" t="s">
        <v>135</v>
      </c>
      <c r="D72" s="23" t="s">
        <v>65</v>
      </c>
      <c r="E72" s="26">
        <v>46268</v>
      </c>
      <c r="F72" s="22" t="s">
        <v>15</v>
      </c>
      <c r="G72" s="22">
        <v>10</v>
      </c>
      <c r="H72" s="24">
        <v>1.2</v>
      </c>
      <c r="I72" s="22">
        <f t="shared" si="1"/>
        <v>12</v>
      </c>
      <c r="L72" s="18" t="s">
        <v>47</v>
      </c>
      <c r="M72" s="18" t="s">
        <v>16</v>
      </c>
      <c r="N72" s="18" t="s">
        <v>51</v>
      </c>
    </row>
    <row r="73" spans="1:14" ht="63">
      <c r="A73" s="18">
        <v>70</v>
      </c>
      <c r="B73" s="19" t="s">
        <v>43</v>
      </c>
      <c r="C73" s="23" t="s">
        <v>145</v>
      </c>
      <c r="D73" s="23" t="s">
        <v>65</v>
      </c>
      <c r="E73" s="26">
        <v>46295</v>
      </c>
      <c r="F73" s="22" t="s">
        <v>15</v>
      </c>
      <c r="G73" s="22">
        <v>10</v>
      </c>
      <c r="H73" s="24">
        <v>1.2</v>
      </c>
      <c r="I73" s="22">
        <f t="shared" si="1"/>
        <v>12</v>
      </c>
      <c r="L73" s="18" t="s">
        <v>47</v>
      </c>
      <c r="M73" s="18" t="s">
        <v>16</v>
      </c>
      <c r="N73" s="18" t="s">
        <v>51</v>
      </c>
    </row>
    <row r="74" spans="1:14" ht="63">
      <c r="A74" s="18">
        <v>71</v>
      </c>
      <c r="B74" s="19" t="s">
        <v>43</v>
      </c>
      <c r="C74" s="23" t="s">
        <v>136</v>
      </c>
      <c r="D74" s="23" t="s">
        <v>67</v>
      </c>
      <c r="E74" s="26">
        <v>46295</v>
      </c>
      <c r="F74" s="22" t="s">
        <v>15</v>
      </c>
      <c r="G74" s="22">
        <v>10</v>
      </c>
      <c r="H74" s="24">
        <v>1</v>
      </c>
      <c r="I74" s="22">
        <f t="shared" si="1"/>
        <v>10</v>
      </c>
      <c r="L74" s="18" t="s">
        <v>47</v>
      </c>
      <c r="M74" s="18" t="s">
        <v>16</v>
      </c>
      <c r="N74" s="18" t="s">
        <v>51</v>
      </c>
    </row>
    <row r="75" spans="1:14" ht="63">
      <c r="A75" s="18">
        <v>72</v>
      </c>
      <c r="B75" s="19" t="s">
        <v>43</v>
      </c>
      <c r="C75" s="23" t="s">
        <v>137</v>
      </c>
      <c r="D75" s="23" t="s">
        <v>65</v>
      </c>
      <c r="E75" s="26">
        <v>46295</v>
      </c>
      <c r="F75" s="22" t="s">
        <v>15</v>
      </c>
      <c r="G75" s="22">
        <v>10</v>
      </c>
      <c r="H75" s="24">
        <v>1</v>
      </c>
      <c r="I75" s="22">
        <f t="shared" si="1"/>
        <v>10</v>
      </c>
      <c r="L75" s="18" t="s">
        <v>47</v>
      </c>
      <c r="M75" s="18" t="s">
        <v>16</v>
      </c>
      <c r="N75" s="18" t="s">
        <v>51</v>
      </c>
    </row>
    <row r="76" spans="1:14" ht="47.25">
      <c r="A76" s="18">
        <v>73</v>
      </c>
      <c r="B76" s="19" t="s">
        <v>43</v>
      </c>
      <c r="C76" s="23" t="s">
        <v>138</v>
      </c>
      <c r="D76" s="23" t="s">
        <v>65</v>
      </c>
      <c r="E76" s="26">
        <v>46227</v>
      </c>
      <c r="F76" s="22" t="s">
        <v>15</v>
      </c>
      <c r="G76" s="22">
        <v>10</v>
      </c>
      <c r="H76" s="24">
        <v>1.2</v>
      </c>
      <c r="I76" s="22">
        <f t="shared" si="1"/>
        <v>12</v>
      </c>
      <c r="L76" s="18" t="s">
        <v>48</v>
      </c>
      <c r="M76" s="18" t="s">
        <v>16</v>
      </c>
      <c r="N76" s="18" t="s">
        <v>51</v>
      </c>
    </row>
    <row r="77" spans="1:14" ht="47.25">
      <c r="A77" s="18">
        <v>74</v>
      </c>
      <c r="B77" s="19" t="s">
        <v>43</v>
      </c>
      <c r="C77" s="23" t="s">
        <v>139</v>
      </c>
      <c r="D77" s="23" t="s">
        <v>65</v>
      </c>
      <c r="E77" s="26">
        <v>46249</v>
      </c>
      <c r="F77" s="22" t="s">
        <v>15</v>
      </c>
      <c r="G77" s="22">
        <v>10</v>
      </c>
      <c r="H77" s="24">
        <v>1</v>
      </c>
      <c r="I77" s="22">
        <f t="shared" si="1"/>
        <v>10</v>
      </c>
      <c r="L77" s="18" t="s">
        <v>48</v>
      </c>
      <c r="M77" s="18" t="s">
        <v>16</v>
      </c>
      <c r="N77" s="18" t="s">
        <v>51</v>
      </c>
    </row>
    <row r="78" spans="1:14" ht="47.25">
      <c r="A78" s="18">
        <v>75</v>
      </c>
      <c r="B78" s="19" t="s">
        <v>43</v>
      </c>
      <c r="C78" s="23" t="s">
        <v>140</v>
      </c>
      <c r="D78" s="23" t="s">
        <v>65</v>
      </c>
      <c r="E78" s="26">
        <v>46268</v>
      </c>
      <c r="F78" s="22" t="s">
        <v>17</v>
      </c>
      <c r="G78" s="22">
        <v>12</v>
      </c>
      <c r="H78" s="24">
        <v>1.2</v>
      </c>
      <c r="I78" s="22">
        <f t="shared" si="1"/>
        <v>14.399999999999999</v>
      </c>
      <c r="L78" s="18" t="s">
        <v>48</v>
      </c>
      <c r="M78" s="18" t="s">
        <v>16</v>
      </c>
      <c r="N78" s="18" t="s">
        <v>51</v>
      </c>
    </row>
    <row r="79" spans="1:14" ht="47.25">
      <c r="A79" s="18">
        <v>76</v>
      </c>
      <c r="B79" s="19" t="s">
        <v>43</v>
      </c>
      <c r="C79" s="23" t="s">
        <v>141</v>
      </c>
      <c r="D79" s="23" t="s">
        <v>67</v>
      </c>
      <c r="E79" s="26">
        <v>46226</v>
      </c>
      <c r="F79" s="22" t="s">
        <v>15</v>
      </c>
      <c r="G79" s="22">
        <v>10</v>
      </c>
      <c r="H79" s="24">
        <v>1</v>
      </c>
      <c r="I79" s="22">
        <f t="shared" si="1"/>
        <v>10</v>
      </c>
      <c r="L79" s="18" t="s">
        <v>48</v>
      </c>
      <c r="M79" s="18" t="s">
        <v>16</v>
      </c>
      <c r="N79" s="18" t="s">
        <v>51</v>
      </c>
    </row>
    <row r="80" spans="1:14" ht="47.25">
      <c r="A80" s="18">
        <v>77</v>
      </c>
      <c r="B80" s="19" t="s">
        <v>43</v>
      </c>
      <c r="C80" s="23" t="s">
        <v>142</v>
      </c>
      <c r="D80" s="23" t="s">
        <v>65</v>
      </c>
      <c r="E80" s="26">
        <v>46280</v>
      </c>
      <c r="F80" s="22" t="s">
        <v>15</v>
      </c>
      <c r="G80" s="22">
        <v>10</v>
      </c>
      <c r="H80" s="24">
        <v>1.2</v>
      </c>
      <c r="I80" s="22">
        <f t="shared" si="1"/>
        <v>12</v>
      </c>
      <c r="L80" s="18" t="s">
        <v>49</v>
      </c>
      <c r="M80" s="18" t="s">
        <v>16</v>
      </c>
      <c r="N80" s="18" t="s">
        <v>51</v>
      </c>
    </row>
    <row r="81" spans="1:14" ht="47.25">
      <c r="A81" s="18">
        <v>78</v>
      </c>
      <c r="B81" s="19" t="s">
        <v>43</v>
      </c>
      <c r="C81" s="23" t="s">
        <v>143</v>
      </c>
      <c r="D81" s="23" t="s">
        <v>65</v>
      </c>
      <c r="E81" s="26">
        <v>46290</v>
      </c>
      <c r="F81" s="22" t="s">
        <v>17</v>
      </c>
      <c r="G81" s="22">
        <v>12</v>
      </c>
      <c r="H81" s="24">
        <v>1.2</v>
      </c>
      <c r="I81" s="22">
        <f t="shared" si="1"/>
        <v>14.399999999999999</v>
      </c>
      <c r="L81" s="18" t="s">
        <v>49</v>
      </c>
      <c r="M81" s="18" t="s">
        <v>16</v>
      </c>
      <c r="N81" s="18" t="s">
        <v>51</v>
      </c>
    </row>
  </sheetData>
  <autoFilter ref="A2:N81" xr:uid="{00000000-0001-0000-0000-000000000000}"/>
  <mergeCells count="1">
    <mergeCell ref="A1:M1"/>
  </mergeCells>
  <phoneticPr fontId="14" type="noConversion"/>
  <dataValidations count="5">
    <dataValidation type="list" allowBlank="1" showInputMessage="1" showErrorMessage="1" sqref="F4" xr:uid="{00000000-0002-0000-0000-000000000000}">
      <formula1>"Thường xuyên,Đột xuất"</formula1>
    </dataValidation>
    <dataValidation type="list" allowBlank="1" showInputMessage="1" showErrorMessage="1" sqref="F5:F1048573" xr:uid="{00000000-0002-0000-0000-000001000000}">
      <formula1>"Thường xuyên, Đột xuất"</formula1>
    </dataValidation>
    <dataValidation type="list" allowBlank="1" showInputMessage="1" showErrorMessage="1" sqref="H4:H1048573" xr:uid="{00000000-0002-0000-0000-000002000000}">
      <formula1>"100%,110%,120%"</formula1>
    </dataValidation>
    <dataValidation type="list" allowBlank="1" showInputMessage="1" showErrorMessage="1" sqref="M4:M1048573" xr:uid="{00000000-0002-0000-0000-000004000000}">
      <formula1>"Hoạt động,Không hoạt động"</formula1>
    </dataValidation>
    <dataValidation type="list" allowBlank="1" showInputMessage="1" showErrorMessage="1" sqref="D4:D81" xr:uid="{B21054D8-C267-4A36-BA1D-556E302AFC64}">
      <formula1>kqdr</formula1>
    </dataValidation>
  </dataValidations>
  <pageMargins left="0.5" right="0.5" top="0.5" bottom="0.5" header="0.3" footer="0.3"/>
  <pageSetup scale="75" orientation="landscape"/>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'03. Trục kết quả trọng tâm'!$A$1:$A$100</xm:f>
          </x14:formula1>
          <xm:sqref>L4:L1048573</xm:sqref>
        </x14:dataValidation>
        <x14:dataValidation type="list" showErrorMessage="1" errorTitle="Dữ liệu không hợp lệ" error="Vui lòng chọn Kỳ đánh giá" xr:uid="{00000000-0002-0000-0000-000005000000}">
          <x14:formula1>
            <xm:f>'05. Kỳ đánh giá'!$B$3:$B$1000</xm:f>
          </x14:formula1>
          <xm:sqref>N4:N1048576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5A838-9B91-46F8-8E12-146B6AD6C6ED}">
  <dimension ref="A1:A8"/>
  <sheetViews>
    <sheetView workbookViewId="0">
      <selection activeCell="A8" sqref="A1:A8"/>
    </sheetView>
  </sheetViews>
  <sheetFormatPr defaultRowHeight="15"/>
  <sheetData>
    <row r="1" spans="1:1">
      <c r="A1" t="s">
        <v>62</v>
      </c>
    </row>
    <row r="2" spans="1:1">
      <c r="A2" t="s">
        <v>63</v>
      </c>
    </row>
    <row r="3" spans="1:1">
      <c r="A3" t="s">
        <v>64</v>
      </c>
    </row>
    <row r="4" spans="1:1">
      <c r="A4" t="s">
        <v>65</v>
      </c>
    </row>
    <row r="5" spans="1:1">
      <c r="A5" t="s">
        <v>66</v>
      </c>
    </row>
    <row r="6" spans="1:1">
      <c r="A6" t="s">
        <v>67</v>
      </c>
    </row>
    <row r="7" spans="1:1">
      <c r="A7" t="s">
        <v>68</v>
      </c>
    </row>
    <row r="8" spans="1:1">
      <c r="A8"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5"/>
  <sheetViews>
    <sheetView workbookViewId="0">
      <selection activeCell="B3" sqref="B3"/>
    </sheetView>
  </sheetViews>
  <sheetFormatPr defaultColWidth="9" defaultRowHeight="16.5"/>
  <cols>
    <col min="1" max="1" width="21.28515625" style="3" customWidth="1"/>
    <col min="2" max="2" width="110.7109375" style="3" customWidth="1"/>
    <col min="3" max="16384" width="9" style="4"/>
  </cols>
  <sheetData>
    <row r="1" spans="1:15">
      <c r="A1" s="5" t="s">
        <v>18</v>
      </c>
      <c r="B1" s="5" t="s">
        <v>19</v>
      </c>
      <c r="C1" s="6"/>
      <c r="D1" s="6"/>
      <c r="E1" s="6"/>
      <c r="F1" s="6"/>
      <c r="G1" s="6"/>
      <c r="H1" s="6"/>
      <c r="I1" s="6"/>
      <c r="J1" s="6"/>
      <c r="K1" s="6"/>
      <c r="L1" s="6"/>
      <c r="M1" s="6"/>
      <c r="N1" s="6"/>
      <c r="O1" s="6"/>
    </row>
    <row r="2" spans="1:15">
      <c r="A2" s="7" t="s">
        <v>1</v>
      </c>
      <c r="B2" s="8" t="s">
        <v>20</v>
      </c>
      <c r="C2" s="6"/>
      <c r="D2" s="6"/>
      <c r="E2" s="6"/>
      <c r="F2" s="6"/>
      <c r="G2" s="6"/>
      <c r="H2" s="6"/>
      <c r="I2" s="6"/>
      <c r="J2" s="6"/>
      <c r="K2" s="6"/>
      <c r="L2" s="6"/>
      <c r="M2" s="6"/>
      <c r="N2" s="6"/>
      <c r="O2" s="6"/>
    </row>
    <row r="3" spans="1:15" ht="49.5">
      <c r="A3" s="7" t="s">
        <v>2</v>
      </c>
      <c r="B3" s="9" t="s">
        <v>21</v>
      </c>
      <c r="C3" s="9"/>
      <c r="D3" s="9"/>
      <c r="E3" s="9"/>
      <c r="F3" s="9"/>
      <c r="G3" s="9"/>
      <c r="H3" s="9"/>
      <c r="I3" s="9"/>
      <c r="J3" s="9"/>
      <c r="K3" s="9"/>
      <c r="L3" s="9"/>
      <c r="M3" s="9"/>
      <c r="N3" s="9"/>
      <c r="O3" s="9"/>
    </row>
    <row r="4" spans="1:15" ht="60" customHeight="1">
      <c r="A4" s="7" t="s">
        <v>3</v>
      </c>
      <c r="B4" s="9" t="s">
        <v>22</v>
      </c>
      <c r="C4" s="9"/>
      <c r="D4" s="9"/>
      <c r="E4" s="9"/>
      <c r="F4" s="9"/>
      <c r="G4" s="9"/>
      <c r="H4" s="9"/>
      <c r="I4" s="9"/>
      <c r="J4" s="9"/>
      <c r="K4" s="9"/>
      <c r="L4" s="9"/>
      <c r="M4" s="9"/>
      <c r="N4" s="9"/>
      <c r="O4" s="9"/>
    </row>
    <row r="5" spans="1:15" ht="49.5">
      <c r="A5" s="7" t="s">
        <v>4</v>
      </c>
      <c r="B5" s="9" t="s">
        <v>23</v>
      </c>
      <c r="C5" s="9"/>
      <c r="D5" s="9"/>
      <c r="E5" s="9"/>
      <c r="F5" s="9"/>
      <c r="G5" s="9"/>
      <c r="H5" s="9"/>
      <c r="I5" s="9"/>
      <c r="J5" s="9"/>
      <c r="K5" s="9"/>
      <c r="L5" s="9"/>
      <c r="M5" s="9"/>
      <c r="N5" s="9"/>
      <c r="O5" s="9"/>
    </row>
    <row r="6" spans="1:15" ht="82.5">
      <c r="A6" s="7" t="s">
        <v>5</v>
      </c>
      <c r="B6" s="9" t="s">
        <v>24</v>
      </c>
      <c r="C6" s="9"/>
      <c r="D6" s="9"/>
      <c r="E6" s="9"/>
      <c r="F6" s="9"/>
      <c r="G6" s="9"/>
      <c r="H6" s="9"/>
      <c r="I6" s="9"/>
      <c r="J6" s="9"/>
      <c r="K6" s="9"/>
      <c r="L6" s="9"/>
      <c r="M6" s="9"/>
      <c r="N6" s="9"/>
      <c r="O6" s="9"/>
    </row>
    <row r="7" spans="1:15" ht="82.5">
      <c r="A7" s="7" t="s">
        <v>6</v>
      </c>
      <c r="B7" s="9" t="s">
        <v>25</v>
      </c>
      <c r="C7" s="9"/>
      <c r="D7" s="9"/>
      <c r="E7" s="9"/>
      <c r="F7" s="9"/>
      <c r="G7" s="9"/>
      <c r="H7" s="9"/>
      <c r="I7" s="9"/>
      <c r="J7" s="9"/>
      <c r="K7" s="9"/>
      <c r="L7" s="9"/>
      <c r="M7" s="9"/>
      <c r="N7" s="9"/>
      <c r="O7" s="9"/>
    </row>
    <row r="8" spans="1:15" ht="99">
      <c r="A8" s="7" t="s">
        <v>7</v>
      </c>
      <c r="B8" s="9" t="s">
        <v>26</v>
      </c>
      <c r="C8" s="9"/>
      <c r="D8" s="9"/>
      <c r="E8" s="9"/>
      <c r="F8" s="9"/>
      <c r="G8" s="9"/>
      <c r="H8" s="9"/>
      <c r="I8" s="9"/>
      <c r="J8" s="9"/>
      <c r="K8" s="9"/>
      <c r="L8" s="9"/>
      <c r="M8" s="9"/>
      <c r="N8" s="9"/>
      <c r="O8" s="9"/>
    </row>
    <row r="9" spans="1:15" ht="165">
      <c r="A9" s="7" t="s">
        <v>8</v>
      </c>
      <c r="B9" s="10" t="s">
        <v>27</v>
      </c>
      <c r="C9" s="10"/>
      <c r="D9" s="10"/>
      <c r="E9" s="10"/>
      <c r="F9" s="10"/>
      <c r="G9" s="10"/>
      <c r="H9" s="10"/>
      <c r="I9" s="10"/>
      <c r="J9" s="10"/>
      <c r="K9" s="10"/>
      <c r="L9" s="10"/>
      <c r="M9" s="10"/>
      <c r="N9" s="10"/>
      <c r="O9" s="10"/>
    </row>
    <row r="10" spans="1:15" ht="33">
      <c r="A10" s="7" t="s">
        <v>9</v>
      </c>
      <c r="B10" s="10" t="s">
        <v>28</v>
      </c>
      <c r="C10" s="10"/>
      <c r="D10" s="10"/>
      <c r="E10" s="10"/>
      <c r="F10" s="10"/>
      <c r="G10" s="10"/>
      <c r="H10" s="10"/>
      <c r="I10" s="10"/>
      <c r="J10" s="10"/>
      <c r="K10" s="10"/>
      <c r="L10" s="10"/>
      <c r="M10" s="10"/>
      <c r="N10" s="10"/>
      <c r="O10" s="10"/>
    </row>
    <row r="11" spans="1:15" ht="33">
      <c r="A11" s="7" t="s">
        <v>10</v>
      </c>
      <c r="B11" s="10" t="s">
        <v>29</v>
      </c>
      <c r="C11" s="10"/>
      <c r="D11" s="10"/>
      <c r="E11" s="10"/>
      <c r="F11" s="10"/>
      <c r="G11" s="10"/>
      <c r="H11" s="10"/>
      <c r="I11" s="10"/>
      <c r="J11" s="10"/>
      <c r="K11" s="10"/>
      <c r="L11" s="10"/>
      <c r="M11" s="10"/>
      <c r="N11" s="10"/>
      <c r="O11" s="10"/>
    </row>
    <row r="12" spans="1:15">
      <c r="A12" s="7" t="s">
        <v>11</v>
      </c>
      <c r="B12" s="10" t="s">
        <v>30</v>
      </c>
      <c r="C12" s="10"/>
      <c r="D12" s="10"/>
      <c r="E12" s="10"/>
      <c r="F12" s="10"/>
      <c r="G12" s="10"/>
      <c r="H12" s="10"/>
      <c r="I12" s="10"/>
      <c r="J12" s="10"/>
      <c r="K12" s="10"/>
      <c r="L12" s="10"/>
      <c r="M12" s="10"/>
      <c r="N12" s="10"/>
      <c r="O12" s="10"/>
    </row>
    <row r="13" spans="1:15" ht="66">
      <c r="A13" s="7" t="s">
        <v>12</v>
      </c>
      <c r="B13" s="10" t="s">
        <v>31</v>
      </c>
      <c r="C13" s="10"/>
      <c r="D13" s="10"/>
      <c r="E13" s="10"/>
      <c r="F13" s="10"/>
      <c r="G13" s="10"/>
      <c r="H13" s="10"/>
      <c r="I13" s="10"/>
      <c r="J13" s="10"/>
      <c r="K13" s="10"/>
      <c r="L13" s="10"/>
      <c r="M13" s="10"/>
      <c r="N13" s="10"/>
      <c r="O13" s="10"/>
    </row>
    <row r="14" spans="1:15" ht="49.5">
      <c r="A14" s="7" t="s">
        <v>13</v>
      </c>
      <c r="B14" s="10" t="s">
        <v>32</v>
      </c>
      <c r="C14" s="10"/>
      <c r="D14" s="10"/>
      <c r="E14" s="10"/>
      <c r="F14" s="10"/>
      <c r="G14" s="10"/>
      <c r="H14" s="10"/>
      <c r="I14" s="10"/>
      <c r="J14" s="10"/>
      <c r="K14" s="10"/>
      <c r="L14" s="10"/>
      <c r="M14" s="10"/>
      <c r="N14" s="10"/>
      <c r="O14" s="10"/>
    </row>
    <row r="15" spans="1:15" ht="66">
      <c r="A15" s="11" t="s">
        <v>14</v>
      </c>
      <c r="B15" s="12" t="s">
        <v>42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heetViews>
  <sheetFormatPr defaultColWidth="9" defaultRowHeight="15"/>
  <cols>
    <col min="1" max="1" width="58.5703125" bestFit="1" customWidth="1"/>
  </cols>
  <sheetData>
    <row r="1" spans="1:1" ht="15.75">
      <c r="A1" s="20" t="s">
        <v>44</v>
      </c>
    </row>
    <row r="2" spans="1:1" ht="15.75">
      <c r="A2" s="20" t="s">
        <v>45</v>
      </c>
    </row>
    <row r="3" spans="1:1" ht="15.75">
      <c r="A3" s="20" t="s">
        <v>46</v>
      </c>
    </row>
    <row r="4" spans="1:1" ht="15.75">
      <c r="A4" s="20" t="s">
        <v>47</v>
      </c>
    </row>
    <row r="5" spans="1:1" ht="15.75">
      <c r="A5" s="20" t="s">
        <v>48</v>
      </c>
    </row>
    <row r="6" spans="1:1" ht="15.75">
      <c r="A6" s="20" t="s">
        <v>49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
  <sheetViews>
    <sheetView workbookViewId="0">
      <selection activeCell="B2" sqref="B2"/>
    </sheetView>
  </sheetViews>
  <sheetFormatPr defaultColWidth="9" defaultRowHeight="15"/>
  <cols>
    <col min="1" max="1" width="11.7109375" bestFit="1" customWidth="1"/>
    <col min="2" max="2" width="12.7109375" bestFit="1" customWidth="1"/>
    <col min="3" max="3" width="36.5703125" bestFit="1" customWidth="1"/>
  </cols>
  <sheetData>
    <row r="1" spans="1:3" ht="15.75">
      <c r="A1" s="2" t="s">
        <v>33</v>
      </c>
      <c r="B1" s="1" t="s">
        <v>34</v>
      </c>
      <c r="C1" s="1" t="s">
        <v>35</v>
      </c>
    </row>
    <row r="2" spans="1:3" ht="15.75">
      <c r="A2" s="20">
        <v>1</v>
      </c>
      <c r="B2" s="20" t="s">
        <v>43</v>
      </c>
      <c r="C2" s="20" t="s">
        <v>50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
  <sheetViews>
    <sheetView workbookViewId="0">
      <selection sqref="A1:A2"/>
    </sheetView>
  </sheetViews>
  <sheetFormatPr defaultColWidth="9" defaultRowHeight="15"/>
  <cols>
    <col min="1" max="1" width="11.7109375" bestFit="1" customWidth="1"/>
    <col min="2" max="2" width="29.85546875" bestFit="1" customWidth="1"/>
    <col min="3" max="3" width="43.5703125" bestFit="1" customWidth="1"/>
    <col min="4" max="5" width="12.7109375" bestFit="1" customWidth="1"/>
    <col min="6" max="6" width="29.85546875" bestFit="1" customWidth="1"/>
  </cols>
  <sheetData>
    <row r="1" spans="1:6" ht="15.75">
      <c r="A1" s="28" t="s">
        <v>33</v>
      </c>
      <c r="B1" s="28" t="s">
        <v>36</v>
      </c>
      <c r="C1" s="28" t="s">
        <v>37</v>
      </c>
      <c r="D1" s="28" t="s">
        <v>38</v>
      </c>
      <c r="E1" s="28"/>
      <c r="F1" s="28" t="s">
        <v>39</v>
      </c>
    </row>
    <row r="2" spans="1:6" ht="15.75">
      <c r="A2" s="29"/>
      <c r="B2" s="28"/>
      <c r="C2" s="28"/>
      <c r="D2" s="1" t="s">
        <v>40</v>
      </c>
      <c r="E2" s="1" t="s">
        <v>41</v>
      </c>
      <c r="F2" s="28"/>
    </row>
    <row r="3" spans="1:6" ht="15.75">
      <c r="A3" s="20">
        <v>1</v>
      </c>
      <c r="B3" s="20" t="s">
        <v>51</v>
      </c>
      <c r="C3" s="20" t="s">
        <v>52</v>
      </c>
      <c r="D3" s="20" t="s">
        <v>53</v>
      </c>
      <c r="E3" s="20" t="s">
        <v>54</v>
      </c>
      <c r="F3" s="20" t="s">
        <v>55</v>
      </c>
    </row>
    <row r="4" spans="1:6" ht="15.75">
      <c r="A4" s="20">
        <v>2</v>
      </c>
      <c r="B4" s="20" t="s">
        <v>56</v>
      </c>
      <c r="C4" s="20" t="s">
        <v>57</v>
      </c>
      <c r="D4" s="20" t="s">
        <v>55</v>
      </c>
      <c r="E4" s="20" t="s">
        <v>55</v>
      </c>
      <c r="F4" s="20" t="s">
        <v>55</v>
      </c>
    </row>
    <row r="5" spans="1:6" ht="15.75">
      <c r="A5" s="20">
        <v>3</v>
      </c>
      <c r="B5" s="20" t="s">
        <v>58</v>
      </c>
      <c r="C5" s="20" t="s">
        <v>59</v>
      </c>
      <c r="D5" s="20" t="s">
        <v>53</v>
      </c>
      <c r="E5" s="20" t="s">
        <v>54</v>
      </c>
      <c r="F5" s="20" t="s">
        <v>55</v>
      </c>
    </row>
    <row r="6" spans="1:6" ht="15.75">
      <c r="A6" s="20">
        <v>4</v>
      </c>
      <c r="B6" s="20" t="s">
        <v>60</v>
      </c>
      <c r="C6" s="20" t="s">
        <v>61</v>
      </c>
      <c r="D6" s="20" t="s">
        <v>55</v>
      </c>
      <c r="E6" s="20" t="s">
        <v>55</v>
      </c>
      <c r="F6" s="20" t="s">
        <v>60</v>
      </c>
    </row>
  </sheetData>
  <mergeCells count="5">
    <mergeCell ref="D1:E1"/>
    <mergeCell ref="A1:A2"/>
    <mergeCell ref="B1:B2"/>
    <mergeCell ref="C1:C2"/>
    <mergeCell ref="F1:F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01. Mẫu import</vt:lpstr>
      <vt:lpstr>KQDR</vt:lpstr>
      <vt:lpstr>02. Hướng dẫn</vt:lpstr>
      <vt:lpstr>03. Trục kết quả trọng tâm</vt:lpstr>
      <vt:lpstr>04. Danh sách đơn vị</vt:lpstr>
      <vt:lpstr>05. Kỳ đánh giá</vt:lpstr>
      <vt:lpstr>'01. Mẫu import'!_Hlk227065356</vt:lpstr>
      <vt:lpstr>kqdr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huelth3</dc:creator>
  <cp:lastModifiedBy>Administrator</cp:lastModifiedBy>
  <dcterms:created xsi:type="dcterms:W3CDTF">2026-06-28T05:07:00Z</dcterms:created>
  <dcterms:modified xsi:type="dcterms:W3CDTF">2026-09-05T09:16:37Z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F83873A95ED5013023D1386AB1F79AA7_41</vt:lpwstr>
  </property>
  <property fmtid="{D5CDD505-2E9C-101B-9397-08002B2CF9AE}" pid="3" name="KSOProductBuildVer">
    <vt:lpwstr>1033-12.1.0.28485</vt:lpwstr>
  </property>
  <property fmtid="{D5CDD505-2E9C-101B-9397-08002B2CF9AE}" pid="4" name="CalculationRule">
    <vt:i4>1</vt:i4>
  </property>
</Properties>
</file>