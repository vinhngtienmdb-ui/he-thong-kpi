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8_{1BC0A896-2A41-498C-9E9C-D47F82CFBE82}" xr6:coauthVersionLast="47" xr6:coauthVersionMax="47" xr10:uidLastSave="{00000000-0000-0000-0000-000000000000}"/>
  <bookViews>
    <workbookView xWindow="-108" yWindow="-108" windowWidth="23256" windowHeight="13896" firstSheet="2" activeTab="4" xr2:uid="{00000000-000D-0000-FFFF-FFFF00000000}"/>
  </bookViews>
  <sheets>
    <sheet name="BẢNG TÍNH ĐIỂM KPI (LĐB)" sheetId="2" state="hidden" r:id="rId1"/>
    <sheet name="BẢN TỰ ĐÁNH GIÁ (LĐB)" sheetId="3" state="hidden" r:id="rId2"/>
    <sheet name="1- DM SP CHUẨN" sheetId="4" r:id="rId3"/>
    <sheet name="2 - BẢNG TÍNH KPI " sheetId="5" r:id="rId4"/>
    <sheet name="3 - MẪU TỰ ĐÁNH GIÁ LD, QL" sheetId="13" r:id="rId5"/>
    <sheet name="BẢNG TÍNH ĐIỂM (2)" sheetId="7" state="hidden" r:id="rId6"/>
    <sheet name="ĐẢNG, ĐOÀN THỂ (2)" sheetId="8" state="hidden" r:id="rId7"/>
    <sheet name="BẢNG TÍNH ĐIỂM (3)" sheetId="9" state="hidden" r:id="rId8"/>
    <sheet name="ĐẢNG, ĐOÀN THỂ (3)" sheetId="10" state="hidden" r:id="rId9"/>
    <sheet name="Sheet1" sheetId="11" state="hidden" r:id="rId10"/>
  </sheets>
  <definedNames>
    <definedName name="_Hlk227065356" localSheetId="2">'1- DM SP CHUẨN'!$A$5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0" i="13" l="1"/>
  <c r="H38" i="13"/>
  <c r="H35" i="13"/>
  <c r="H30" i="13"/>
  <c r="G30" i="13"/>
  <c r="G35" i="13" s="1"/>
  <c r="G40" i="13" s="1"/>
  <c r="H25" i="13"/>
  <c r="G25" i="13"/>
  <c r="H15" i="13"/>
  <c r="G15" i="13"/>
  <c r="H74" i="5"/>
  <c r="I74" i="5" s="1"/>
  <c r="H75" i="5"/>
  <c r="I75" i="5" s="1"/>
  <c r="H76" i="5"/>
  <c r="I76" i="5" s="1"/>
  <c r="H77" i="5"/>
  <c r="I77" i="5" s="1"/>
  <c r="E74" i="5"/>
  <c r="E75" i="5"/>
  <c r="E76" i="5"/>
  <c r="E77" i="5"/>
  <c r="D74" i="5"/>
  <c r="D75" i="5"/>
  <c r="D76" i="5"/>
  <c r="D77" i="5"/>
  <c r="C74" i="5"/>
  <c r="C75" i="5"/>
  <c r="C76" i="5"/>
  <c r="C77" i="5"/>
  <c r="B74" i="5"/>
  <c r="B75" i="5"/>
  <c r="B76" i="5"/>
  <c r="B77" i="5"/>
  <c r="D68" i="5"/>
  <c r="D69" i="5"/>
  <c r="D70" i="5"/>
  <c r="D71" i="5"/>
  <c r="C68" i="5"/>
  <c r="C69" i="5"/>
  <c r="C70" i="5"/>
  <c r="C71" i="5"/>
  <c r="B68" i="5"/>
  <c r="B69" i="5"/>
  <c r="B70" i="5"/>
  <c r="B71" i="5"/>
  <c r="D62" i="5"/>
  <c r="D63" i="5"/>
  <c r="D64" i="5"/>
  <c r="D65" i="5"/>
  <c r="C62" i="5"/>
  <c r="C63" i="5"/>
  <c r="C64" i="5"/>
  <c r="C65" i="5"/>
  <c r="B62" i="5"/>
  <c r="B63" i="5"/>
  <c r="B64" i="5"/>
  <c r="B65" i="5"/>
  <c r="D50" i="5"/>
  <c r="D51" i="5"/>
  <c r="D52" i="5"/>
  <c r="D53" i="5"/>
  <c r="C50" i="5"/>
  <c r="C51" i="5"/>
  <c r="C52" i="5"/>
  <c r="C53" i="5"/>
  <c r="B50" i="5"/>
  <c r="B51" i="5"/>
  <c r="B52" i="5"/>
  <c r="B53" i="5"/>
  <c r="H74" i="4"/>
  <c r="H75" i="4"/>
  <c r="H76" i="4"/>
  <c r="H77" i="4"/>
  <c r="H68" i="4"/>
  <c r="H69" i="4"/>
  <c r="H70" i="4"/>
  <c r="H71" i="4"/>
  <c r="H62" i="4"/>
  <c r="H63" i="4"/>
  <c r="H64" i="4"/>
  <c r="H65" i="4"/>
  <c r="H50" i="4"/>
  <c r="H51" i="4"/>
  <c r="H52" i="4"/>
  <c r="H53" i="4"/>
  <c r="D73" i="5"/>
  <c r="C73" i="5"/>
  <c r="H73" i="5" s="1"/>
  <c r="D67" i="5"/>
  <c r="C67" i="5"/>
  <c r="H67" i="5" s="1"/>
  <c r="D61" i="5"/>
  <c r="C61" i="5"/>
  <c r="H61" i="5" s="1"/>
  <c r="D56" i="5"/>
  <c r="D57" i="5"/>
  <c r="D58" i="5"/>
  <c r="D59" i="5"/>
  <c r="C56" i="5"/>
  <c r="H56" i="5" s="1"/>
  <c r="C57" i="5"/>
  <c r="H57" i="5" s="1"/>
  <c r="C58" i="5"/>
  <c r="H58" i="5" s="1"/>
  <c r="C59" i="5"/>
  <c r="D55" i="5"/>
  <c r="C55" i="5"/>
  <c r="H55" i="5" s="1"/>
  <c r="D49" i="5"/>
  <c r="C49"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7" i="5"/>
  <c r="C8" i="5"/>
  <c r="C9" i="5"/>
  <c r="C10" i="5"/>
  <c r="C11" i="5"/>
  <c r="C12" i="5"/>
  <c r="C13" i="5"/>
  <c r="H13" i="5" s="1"/>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H41" i="5" s="1"/>
  <c r="I41" i="5" s="1"/>
  <c r="C42" i="5"/>
  <c r="C43" i="5"/>
  <c r="C44" i="5"/>
  <c r="C45" i="5"/>
  <c r="C46" i="5"/>
  <c r="C7" i="5"/>
  <c r="B73" i="5"/>
  <c r="B67" i="5"/>
  <c r="B61" i="5"/>
  <c r="B56" i="5"/>
  <c r="B57" i="5"/>
  <c r="B58" i="5"/>
  <c r="B59" i="5"/>
  <c r="B55" i="5"/>
  <c r="B49"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7" i="5"/>
  <c r="H73" i="4"/>
  <c r="H67" i="4"/>
  <c r="H61" i="4"/>
  <c r="H56" i="4"/>
  <c r="H57" i="4"/>
  <c r="H58" i="4"/>
  <c r="H59" i="4"/>
  <c r="H55" i="4"/>
  <c r="H49"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8" i="4"/>
  <c r="H68" i="5" l="1"/>
  <c r="I68" i="5" s="1"/>
  <c r="E68" i="5"/>
  <c r="H69" i="5"/>
  <c r="I69" i="5" s="1"/>
  <c r="E69" i="5"/>
  <c r="H70" i="5"/>
  <c r="I70" i="5" s="1"/>
  <c r="E70" i="5"/>
  <c r="H71" i="5"/>
  <c r="I71" i="5" s="1"/>
  <c r="E71" i="5"/>
  <c r="H62" i="5"/>
  <c r="I62" i="5" s="1"/>
  <c r="E62" i="5"/>
  <c r="H63" i="5"/>
  <c r="I63" i="5" s="1"/>
  <c r="E63" i="5"/>
  <c r="H64" i="5"/>
  <c r="I64" i="5" s="1"/>
  <c r="E64" i="5"/>
  <c r="H65" i="5"/>
  <c r="I65" i="5" s="1"/>
  <c r="E65" i="5"/>
  <c r="H50" i="5"/>
  <c r="I50" i="5" s="1"/>
  <c r="E50" i="5"/>
  <c r="H51" i="5"/>
  <c r="I51" i="5" s="1"/>
  <c r="E51" i="5"/>
  <c r="H52" i="5"/>
  <c r="I52" i="5" s="1"/>
  <c r="E52" i="5"/>
  <c r="H53" i="5"/>
  <c r="I53" i="5" s="1"/>
  <c r="E53" i="5"/>
  <c r="H49" i="5"/>
  <c r="I49" i="5" s="1"/>
  <c r="E49" i="5"/>
  <c r="E41" i="5"/>
  <c r="H8" i="5"/>
  <c r="I8" i="5" s="1"/>
  <c r="E8" i="5"/>
  <c r="H9" i="5"/>
  <c r="I9" i="5" s="1"/>
  <c r="E9" i="5"/>
  <c r="H10" i="5"/>
  <c r="I10" i="5" s="1"/>
  <c r="E10" i="5"/>
  <c r="H11" i="5"/>
  <c r="I11" i="5" s="1"/>
  <c r="E11" i="5"/>
  <c r="H12" i="5"/>
  <c r="I12" i="5" s="1"/>
  <c r="E12" i="5"/>
  <c r="H14" i="5"/>
  <c r="I14" i="5" s="1"/>
  <c r="E14" i="5"/>
  <c r="H15" i="5"/>
  <c r="I15" i="5" s="1"/>
  <c r="E15" i="5"/>
  <c r="H16" i="5"/>
  <c r="I16" i="5" s="1"/>
  <c r="E16" i="5"/>
  <c r="H17" i="5"/>
  <c r="I17" i="5" s="1"/>
  <c r="E17" i="5"/>
  <c r="H18" i="5"/>
  <c r="I18" i="5" s="1"/>
  <c r="E18" i="5"/>
  <c r="H19" i="5"/>
  <c r="I19" i="5" s="1"/>
  <c r="E19" i="5"/>
  <c r="H20" i="5"/>
  <c r="I20" i="5" s="1"/>
  <c r="E20" i="5"/>
  <c r="H21" i="5"/>
  <c r="I21" i="5" s="1"/>
  <c r="E21" i="5"/>
  <c r="H22" i="5"/>
  <c r="I22" i="5" s="1"/>
  <c r="E22" i="5"/>
  <c r="H23" i="5"/>
  <c r="I23" i="5" s="1"/>
  <c r="E23" i="5"/>
  <c r="H24" i="5"/>
  <c r="I24" i="5" s="1"/>
  <c r="E24" i="5"/>
  <c r="H26" i="5"/>
  <c r="I26" i="5" s="1"/>
  <c r="E26" i="5"/>
  <c r="H27" i="5"/>
  <c r="I27" i="5" s="1"/>
  <c r="E27" i="5"/>
  <c r="H28" i="5"/>
  <c r="I28" i="5" s="1"/>
  <c r="E28" i="5"/>
  <c r="H29" i="5"/>
  <c r="I29" i="5" s="1"/>
  <c r="E29" i="5"/>
  <c r="H30" i="5"/>
  <c r="I30" i="5" s="1"/>
  <c r="E30" i="5"/>
  <c r="H31" i="5"/>
  <c r="I31" i="5" s="1"/>
  <c r="E31" i="5"/>
  <c r="H32" i="5"/>
  <c r="I32" i="5" s="1"/>
  <c r="E32" i="5"/>
  <c r="H33" i="5"/>
  <c r="I33" i="5" s="1"/>
  <c r="E33" i="5"/>
  <c r="H34" i="5"/>
  <c r="I34" i="5" s="1"/>
  <c r="E34" i="5"/>
  <c r="E35" i="5"/>
  <c r="H35" i="5"/>
  <c r="I35" i="5" s="1"/>
  <c r="H36" i="5"/>
  <c r="I36" i="5" s="1"/>
  <c r="E36" i="5"/>
  <c r="H37" i="5"/>
  <c r="I37" i="5" s="1"/>
  <c r="E37" i="5"/>
  <c r="H38" i="5"/>
  <c r="I38" i="5" s="1"/>
  <c r="E38" i="5"/>
  <c r="H39" i="5"/>
  <c r="I39" i="5" s="1"/>
  <c r="E39" i="5"/>
  <c r="H40" i="5"/>
  <c r="I40" i="5" s="1"/>
  <c r="E40" i="5"/>
  <c r="H42" i="5"/>
  <c r="I42" i="5" s="1"/>
  <c r="E42" i="5"/>
  <c r="H43" i="5"/>
  <c r="I43" i="5" s="1"/>
  <c r="E43" i="5"/>
  <c r="H44" i="5"/>
  <c r="I44" i="5" s="1"/>
  <c r="E44" i="5"/>
  <c r="H45" i="5"/>
  <c r="I45" i="5" s="1"/>
  <c r="E45" i="5"/>
  <c r="H46" i="5"/>
  <c r="I46" i="5" s="1"/>
  <c r="E46" i="5"/>
  <c r="H7" i="5"/>
  <c r="I7" i="5" s="1"/>
  <c r="E7" i="5"/>
  <c r="H25" i="5"/>
  <c r="I25" i="5" s="1"/>
  <c r="E25" i="5"/>
  <c r="I13" i="5"/>
  <c r="E13" i="5"/>
  <c r="E61" i="5"/>
  <c r="I55" i="5"/>
  <c r="E59" i="5"/>
  <c r="I58" i="5"/>
  <c r="I57" i="5"/>
  <c r="E67" i="5"/>
  <c r="I56" i="5"/>
  <c r="E73" i="5"/>
  <c r="I61" i="5"/>
  <c r="E55" i="5"/>
  <c r="E58" i="5"/>
  <c r="H59" i="5"/>
  <c r="I59" i="5" s="1"/>
  <c r="E57" i="5"/>
  <c r="E56" i="5"/>
  <c r="I73" i="5"/>
  <c r="I67" i="5"/>
  <c r="E78" i="5" l="1"/>
  <c r="I78" i="5"/>
  <c r="G45" i="10" l="1"/>
  <c r="H31" i="10"/>
  <c r="H36" i="10" s="1"/>
  <c r="G31" i="10"/>
  <c r="H26" i="10"/>
  <c r="G26" i="10"/>
  <c r="H16" i="10"/>
  <c r="G16" i="10"/>
  <c r="C62" i="9"/>
  <c r="F44" i="10" s="1"/>
  <c r="H44" i="10" s="1"/>
  <c r="C61" i="9"/>
  <c r="C58" i="9"/>
  <c r="F43" i="10" s="1"/>
  <c r="H43" i="10" s="1"/>
  <c r="C57" i="9"/>
  <c r="D43" i="10" s="1"/>
  <c r="H52" i="9"/>
  <c r="D52" i="9"/>
  <c r="H51" i="9"/>
  <c r="D51" i="9"/>
  <c r="C51" i="9"/>
  <c r="I51" i="9" s="1"/>
  <c r="H50" i="9"/>
  <c r="D50" i="9"/>
  <c r="H49" i="9"/>
  <c r="D49" i="9"/>
  <c r="H48" i="9"/>
  <c r="D48" i="9"/>
  <c r="H47" i="9"/>
  <c r="D47" i="9"/>
  <c r="H46" i="9"/>
  <c r="D46" i="9"/>
  <c r="C46" i="9"/>
  <c r="I46" i="9" s="1"/>
  <c r="H45" i="9"/>
  <c r="D45" i="9"/>
  <c r="H44" i="9"/>
  <c r="D44" i="9"/>
  <c r="H43" i="9"/>
  <c r="D43" i="9"/>
  <c r="H42" i="9"/>
  <c r="D42" i="9"/>
  <c r="H41" i="9"/>
  <c r="D41" i="9"/>
  <c r="H40" i="9"/>
  <c r="D40" i="9"/>
  <c r="H39" i="9"/>
  <c r="D39" i="9"/>
  <c r="C39" i="9"/>
  <c r="I39" i="9" s="1"/>
  <c r="H38" i="9"/>
  <c r="D38" i="9"/>
  <c r="H37" i="9"/>
  <c r="D37" i="9"/>
  <c r="H36" i="9"/>
  <c r="D36" i="9"/>
  <c r="H35" i="9"/>
  <c r="D35" i="9"/>
  <c r="H34" i="9"/>
  <c r="D34" i="9"/>
  <c r="C34" i="9"/>
  <c r="I34" i="9" s="1"/>
  <c r="H33" i="9"/>
  <c r="D33" i="9"/>
  <c r="H32" i="9"/>
  <c r="D32" i="9"/>
  <c r="H31" i="9"/>
  <c r="D31" i="9"/>
  <c r="J31" i="9" s="1"/>
  <c r="H30" i="9"/>
  <c r="D30" i="9"/>
  <c r="H29" i="9"/>
  <c r="D29" i="9"/>
  <c r="C29" i="9"/>
  <c r="I29" i="9" s="1"/>
  <c r="H28" i="9"/>
  <c r="D28" i="9"/>
  <c r="H27" i="9"/>
  <c r="D27" i="9"/>
  <c r="H26" i="9"/>
  <c r="D26" i="9"/>
  <c r="H25" i="9"/>
  <c r="D25" i="9"/>
  <c r="H24" i="9"/>
  <c r="D24" i="9"/>
  <c r="H23" i="9"/>
  <c r="D23" i="9"/>
  <c r="H22" i="9"/>
  <c r="D22" i="9"/>
  <c r="C22" i="9"/>
  <c r="I22" i="9" s="1"/>
  <c r="H21" i="9"/>
  <c r="D21" i="9"/>
  <c r="H20" i="9"/>
  <c r="D20" i="9"/>
  <c r="H19" i="9"/>
  <c r="D19" i="9"/>
  <c r="H18" i="9"/>
  <c r="D18" i="9"/>
  <c r="H14" i="9"/>
  <c r="D14" i="9"/>
  <c r="C11" i="9"/>
  <c r="F40" i="10" s="1"/>
  <c r="H40" i="10" s="1"/>
  <c r="J10" i="9"/>
  <c r="E40" i="10" s="1"/>
  <c r="C10" i="9"/>
  <c r="D40" i="10" s="1"/>
  <c r="H5" i="9"/>
  <c r="D5" i="9"/>
  <c r="G45" i="8"/>
  <c r="E40" i="8"/>
  <c r="D40" i="8"/>
  <c r="H31" i="8"/>
  <c r="G31" i="8"/>
  <c r="H26" i="8"/>
  <c r="G26" i="8"/>
  <c r="H16" i="8"/>
  <c r="G16" i="8"/>
  <c r="C62" i="7"/>
  <c r="F44" i="8" s="1"/>
  <c r="H44" i="8" s="1"/>
  <c r="C61" i="7"/>
  <c r="H61" i="7" s="1"/>
  <c r="E44" i="8" s="1"/>
  <c r="C58" i="7"/>
  <c r="C57" i="7"/>
  <c r="D52" i="7"/>
  <c r="D51" i="7"/>
  <c r="D50" i="7"/>
  <c r="D49" i="7"/>
  <c r="D48" i="7"/>
  <c r="D47" i="7"/>
  <c r="C47" i="7"/>
  <c r="G47" i="7" s="1"/>
  <c r="D46" i="7"/>
  <c r="D45" i="7"/>
  <c r="D44" i="7"/>
  <c r="D43" i="7"/>
  <c r="D42" i="7"/>
  <c r="D41" i="7"/>
  <c r="C41" i="7"/>
  <c r="G41" i="7" s="1"/>
  <c r="D40" i="7"/>
  <c r="D39" i="7"/>
  <c r="D38" i="7"/>
  <c r="D37" i="7"/>
  <c r="D36" i="7"/>
  <c r="D35" i="7"/>
  <c r="D34" i="7"/>
  <c r="D33" i="7"/>
  <c r="D32" i="7"/>
  <c r="D31" i="7"/>
  <c r="H31" i="7" s="1"/>
  <c r="D30" i="7"/>
  <c r="D29" i="7"/>
  <c r="D28" i="7"/>
  <c r="D27" i="7"/>
  <c r="D26" i="7"/>
  <c r="D25" i="7"/>
  <c r="D24" i="7"/>
  <c r="D23" i="7"/>
  <c r="D22" i="7"/>
  <c r="D21" i="7"/>
  <c r="D20" i="7"/>
  <c r="D19" i="7"/>
  <c r="D18" i="7"/>
  <c r="D14" i="7"/>
  <c r="C11" i="7"/>
  <c r="F40" i="8" s="1"/>
  <c r="H40" i="8" s="1"/>
  <c r="C10" i="7"/>
  <c r="H10" i="7" s="1"/>
  <c r="D5" i="7"/>
  <c r="G45" i="3"/>
  <c r="H44" i="3"/>
  <c r="H43" i="3"/>
  <c r="H42" i="3"/>
  <c r="H41" i="3"/>
  <c r="H40" i="3"/>
  <c r="H39" i="3"/>
  <c r="H31" i="3"/>
  <c r="H36" i="3" s="1"/>
  <c r="G31" i="3"/>
  <c r="H26" i="3"/>
  <c r="G26" i="3"/>
  <c r="H16" i="3"/>
  <c r="G16" i="3"/>
  <c r="C58" i="2"/>
  <c r="C57" i="2"/>
  <c r="I57" i="2" s="1"/>
  <c r="D52" i="2"/>
  <c r="D51" i="2"/>
  <c r="D50" i="2"/>
  <c r="D49" i="2"/>
  <c r="D48" i="2"/>
  <c r="D47" i="2"/>
  <c r="C47" i="2"/>
  <c r="H47" i="2" s="1"/>
  <c r="D46" i="2"/>
  <c r="D45" i="2"/>
  <c r="D44" i="2"/>
  <c r="D43" i="2"/>
  <c r="D42" i="2"/>
  <c r="C42" i="2"/>
  <c r="E42" i="2" s="1"/>
  <c r="D41" i="2"/>
  <c r="D40" i="2"/>
  <c r="D39" i="2"/>
  <c r="D38" i="2"/>
  <c r="D37" i="2"/>
  <c r="D36" i="2"/>
  <c r="D35" i="2"/>
  <c r="D34" i="2"/>
  <c r="D33" i="2"/>
  <c r="D32" i="2"/>
  <c r="D31" i="2"/>
  <c r="I31" i="2" s="1"/>
  <c r="D30" i="2"/>
  <c r="D29" i="2"/>
  <c r="D28" i="2"/>
  <c r="D27" i="2"/>
  <c r="D26" i="2"/>
  <c r="D25" i="2"/>
  <c r="D24" i="2"/>
  <c r="D23" i="2"/>
  <c r="D22" i="2"/>
  <c r="D21" i="2"/>
  <c r="D20" i="2"/>
  <c r="D19" i="2"/>
  <c r="D18" i="2"/>
  <c r="D14" i="2"/>
  <c r="C11" i="2"/>
  <c r="C10" i="2"/>
  <c r="I10" i="2" s="1"/>
  <c r="D5" i="2"/>
  <c r="C51" i="2"/>
  <c r="C50" i="7"/>
  <c r="G50" i="7" s="1"/>
  <c r="C49" i="7"/>
  <c r="G49" i="7" s="1"/>
  <c r="C48" i="9"/>
  <c r="I48" i="9" s="1"/>
  <c r="C46" i="7"/>
  <c r="G46" i="7" s="1"/>
  <c r="C45" i="9"/>
  <c r="I45" i="9" s="1"/>
  <c r="C44" i="2"/>
  <c r="C43" i="7"/>
  <c r="G43" i="7" s="1"/>
  <c r="C41" i="2"/>
  <c r="C39" i="2"/>
  <c r="C38" i="9"/>
  <c r="I38" i="9" s="1"/>
  <c r="C37" i="7"/>
  <c r="G37" i="7" s="1"/>
  <c r="C36" i="9"/>
  <c r="I36" i="9" s="1"/>
  <c r="C34" i="7"/>
  <c r="G34" i="7" s="1"/>
  <c r="C33" i="9"/>
  <c r="I33" i="9" s="1"/>
  <c r="C32" i="2"/>
  <c r="C31" i="9"/>
  <c r="C29" i="2"/>
  <c r="C28" i="9"/>
  <c r="I28" i="9" s="1"/>
  <c r="C27" i="2"/>
  <c r="C26" i="9"/>
  <c r="I26" i="9" s="1"/>
  <c r="C22" i="2"/>
  <c r="C21" i="9"/>
  <c r="I21" i="9" s="1"/>
  <c r="C19" i="9"/>
  <c r="I19" i="9" s="1"/>
  <c r="C5" i="9"/>
  <c r="H50" i="7" l="1"/>
  <c r="H37" i="7"/>
  <c r="G36" i="8"/>
  <c r="C52" i="7"/>
  <c r="C52" i="2"/>
  <c r="E52" i="2" s="1"/>
  <c r="H36" i="8"/>
  <c r="J22" i="9"/>
  <c r="G36" i="3"/>
  <c r="G46" i="3" s="1"/>
  <c r="I47" i="2"/>
  <c r="E51" i="2"/>
  <c r="H49" i="7"/>
  <c r="J48" i="9"/>
  <c r="H46" i="7"/>
  <c r="J45" i="9"/>
  <c r="H43" i="7"/>
  <c r="J38" i="9"/>
  <c r="J36" i="9"/>
  <c r="H34" i="7"/>
  <c r="J33" i="9"/>
  <c r="J28" i="9"/>
  <c r="J26" i="9"/>
  <c r="J21" i="9"/>
  <c r="J19" i="9"/>
  <c r="G36" i="10"/>
  <c r="G46" i="10" s="1"/>
  <c r="J61" i="9"/>
  <c r="D44" i="10"/>
  <c r="D43" i="8"/>
  <c r="D44" i="8"/>
  <c r="C40" i="7"/>
  <c r="G40" i="7" s="1"/>
  <c r="H40" i="7" s="1"/>
  <c r="C40" i="2"/>
  <c r="C35" i="7"/>
  <c r="G35" i="7" s="1"/>
  <c r="C35" i="2"/>
  <c r="C30" i="2"/>
  <c r="C25" i="9"/>
  <c r="I25" i="9" s="1"/>
  <c r="C25" i="2"/>
  <c r="C23" i="2"/>
  <c r="C18" i="2"/>
  <c r="C14" i="9"/>
  <c r="C14" i="7"/>
  <c r="J25" i="9"/>
  <c r="I14" i="9"/>
  <c r="J14" i="9" s="1"/>
  <c r="C16" i="9"/>
  <c r="F41" i="10" s="1"/>
  <c r="H41" i="10" s="1"/>
  <c r="C15" i="9"/>
  <c r="D41" i="10" s="1"/>
  <c r="H35" i="7"/>
  <c r="G46" i="8"/>
  <c r="H41" i="7"/>
  <c r="J39" i="9"/>
  <c r="C6" i="9"/>
  <c r="D39" i="10" s="1"/>
  <c r="I5" i="9"/>
  <c r="J5" i="9" s="1"/>
  <c r="J6" i="9" s="1"/>
  <c r="H39" i="2"/>
  <c r="I39" i="2" s="1"/>
  <c r="E39" i="2"/>
  <c r="E22" i="2"/>
  <c r="H22" i="2"/>
  <c r="I22" i="2" s="1"/>
  <c r="J29" i="9"/>
  <c r="J51" i="9"/>
  <c r="E29" i="2"/>
  <c r="H29" i="2"/>
  <c r="I29" i="2" s="1"/>
  <c r="H47" i="7"/>
  <c r="J34" i="9"/>
  <c r="H27" i="2"/>
  <c r="I27" i="2" s="1"/>
  <c r="E27" i="2"/>
  <c r="H41" i="2"/>
  <c r="I41" i="2" s="1"/>
  <c r="E41" i="2"/>
  <c r="E32" i="2"/>
  <c r="H32" i="2"/>
  <c r="I32" i="2" s="1"/>
  <c r="E44" i="2"/>
  <c r="H44" i="2"/>
  <c r="I44" i="2" s="1"/>
  <c r="J46" i="9"/>
  <c r="C20" i="2"/>
  <c r="C37" i="2"/>
  <c r="C49" i="2"/>
  <c r="C19" i="7"/>
  <c r="G19" i="7" s="1"/>
  <c r="H19" i="7" s="1"/>
  <c r="C22" i="7"/>
  <c r="G22" i="7" s="1"/>
  <c r="H22" i="7" s="1"/>
  <c r="C25" i="7"/>
  <c r="G25" i="7" s="1"/>
  <c r="H25" i="7" s="1"/>
  <c r="C28" i="7"/>
  <c r="G28" i="7" s="1"/>
  <c r="H28" i="7" s="1"/>
  <c r="C31" i="7"/>
  <c r="C24" i="9"/>
  <c r="I24" i="9" s="1"/>
  <c r="J24" i="9" s="1"/>
  <c r="C41" i="9"/>
  <c r="I41" i="9" s="1"/>
  <c r="J41" i="9" s="1"/>
  <c r="C38" i="7"/>
  <c r="G38" i="7" s="1"/>
  <c r="H38" i="7" s="1"/>
  <c r="C27" i="9"/>
  <c r="I27" i="9" s="1"/>
  <c r="J27" i="9" s="1"/>
  <c r="C32" i="9"/>
  <c r="I32" i="9" s="1"/>
  <c r="J32" i="9" s="1"/>
  <c r="C44" i="9"/>
  <c r="I44" i="9" s="1"/>
  <c r="J44" i="9" s="1"/>
  <c r="C28" i="2"/>
  <c r="C33" i="2"/>
  <c r="H42" i="2"/>
  <c r="I42" i="2" s="1"/>
  <c r="C45" i="2"/>
  <c r="E47" i="2"/>
  <c r="C20" i="7"/>
  <c r="G20" i="7" s="1"/>
  <c r="H20" i="7" s="1"/>
  <c r="C23" i="7"/>
  <c r="G23" i="7" s="1"/>
  <c r="H23" i="7" s="1"/>
  <c r="C26" i="7"/>
  <c r="G26" i="7" s="1"/>
  <c r="H26" i="7" s="1"/>
  <c r="C29" i="7"/>
  <c r="G29" i="7" s="1"/>
  <c r="H29" i="7" s="1"/>
  <c r="C20" i="9"/>
  <c r="I20" i="9" s="1"/>
  <c r="J20" i="9" s="1"/>
  <c r="C37" i="9"/>
  <c r="I37" i="9" s="1"/>
  <c r="J37" i="9" s="1"/>
  <c r="C49" i="9"/>
  <c r="I49" i="9" s="1"/>
  <c r="J49" i="9" s="1"/>
  <c r="C21" i="2"/>
  <c r="C38" i="2"/>
  <c r="C50" i="2"/>
  <c r="H57" i="7"/>
  <c r="E43" i="8" s="1"/>
  <c r="C42" i="9"/>
  <c r="I42" i="9" s="1"/>
  <c r="J42" i="9" s="1"/>
  <c r="C14" i="2"/>
  <c r="C26" i="2"/>
  <c r="C43" i="2"/>
  <c r="C18" i="9"/>
  <c r="C30" i="9"/>
  <c r="I30" i="9" s="1"/>
  <c r="J30" i="9" s="1"/>
  <c r="C35" i="9"/>
  <c r="I35" i="9" s="1"/>
  <c r="J35" i="9" s="1"/>
  <c r="C47" i="9"/>
  <c r="I47" i="9" s="1"/>
  <c r="J47" i="9" s="1"/>
  <c r="J57" i="9"/>
  <c r="C5" i="2"/>
  <c r="C19" i="2"/>
  <c r="C31" i="2"/>
  <c r="E31" i="2" s="1"/>
  <c r="C36" i="2"/>
  <c r="C48" i="2"/>
  <c r="C33" i="7"/>
  <c r="G33" i="7" s="1"/>
  <c r="H33" i="7" s="1"/>
  <c r="C36" i="7"/>
  <c r="G36" i="7" s="1"/>
  <c r="H36" i="7" s="1"/>
  <c r="C39" i="7"/>
  <c r="G39" i="7" s="1"/>
  <c r="H39" i="7" s="1"/>
  <c r="C42" i="7"/>
  <c r="G42" i="7" s="1"/>
  <c r="H42" i="7" s="1"/>
  <c r="C45" i="7"/>
  <c r="G45" i="7" s="1"/>
  <c r="H45" i="7" s="1"/>
  <c r="C48" i="7"/>
  <c r="G48" i="7" s="1"/>
  <c r="H48" i="7" s="1"/>
  <c r="C51" i="7"/>
  <c r="C23" i="9"/>
  <c r="I23" i="9" s="1"/>
  <c r="J23" i="9" s="1"/>
  <c r="C40" i="9"/>
  <c r="I40" i="9" s="1"/>
  <c r="J40" i="9" s="1"/>
  <c r="C52" i="9"/>
  <c r="I52" i="9" s="1"/>
  <c r="J52" i="9" s="1"/>
  <c r="C24" i="2"/>
  <c r="C18" i="7"/>
  <c r="C21" i="7"/>
  <c r="G21" i="7" s="1"/>
  <c r="H21" i="7" s="1"/>
  <c r="C24" i="7"/>
  <c r="G24" i="7" s="1"/>
  <c r="H24" i="7" s="1"/>
  <c r="C27" i="7"/>
  <c r="G27" i="7" s="1"/>
  <c r="H27" i="7" s="1"/>
  <c r="C30" i="7"/>
  <c r="G30" i="7" s="1"/>
  <c r="H30" i="7" s="1"/>
  <c r="C5" i="7"/>
  <c r="C32" i="7"/>
  <c r="G32" i="7" s="1"/>
  <c r="H32" i="7" s="1"/>
  <c r="C34" i="2"/>
  <c r="C46" i="2"/>
  <c r="C50" i="9"/>
  <c r="I50" i="9" s="1"/>
  <c r="J50" i="9" s="1"/>
  <c r="C44" i="7"/>
  <c r="G44" i="7" s="1"/>
  <c r="H44" i="7" s="1"/>
  <c r="C43" i="9"/>
  <c r="I43" i="9" s="1"/>
  <c r="J43" i="9" s="1"/>
  <c r="H40" i="2" l="1"/>
  <c r="I40" i="2" s="1"/>
  <c r="E40" i="2"/>
  <c r="H35" i="2"/>
  <c r="I35" i="2" s="1"/>
  <c r="E35" i="2"/>
  <c r="H30" i="2"/>
  <c r="I30" i="2" s="1"/>
  <c r="E30" i="2"/>
  <c r="E25" i="2"/>
  <c r="H25" i="2"/>
  <c r="I25" i="2" s="1"/>
  <c r="H23" i="2"/>
  <c r="I23" i="2" s="1"/>
  <c r="E23" i="2"/>
  <c r="H18" i="2"/>
  <c r="I18" i="2" s="1"/>
  <c r="E18" i="2"/>
  <c r="C15" i="7"/>
  <c r="D41" i="8" s="1"/>
  <c r="G14" i="7"/>
  <c r="H14" i="7" s="1"/>
  <c r="E46" i="2"/>
  <c r="H46" i="2"/>
  <c r="I46" i="2" s="1"/>
  <c r="H33" i="2"/>
  <c r="I33" i="2" s="1"/>
  <c r="E33" i="2"/>
  <c r="H24" i="2"/>
  <c r="I24" i="2" s="1"/>
  <c r="E24" i="2"/>
  <c r="H37" i="2"/>
  <c r="I37" i="2" s="1"/>
  <c r="E37" i="2"/>
  <c r="E34" i="2"/>
  <c r="H34" i="2"/>
  <c r="I34" i="2" s="1"/>
  <c r="H48" i="2"/>
  <c r="I48" i="2" s="1"/>
  <c r="E48" i="2"/>
  <c r="H28" i="2"/>
  <c r="I28" i="2" s="1"/>
  <c r="E28" i="2"/>
  <c r="H36" i="2"/>
  <c r="I36" i="2" s="1"/>
  <c r="E36" i="2"/>
  <c r="H20" i="2"/>
  <c r="I20" i="2" s="1"/>
  <c r="E20" i="2"/>
  <c r="I18" i="9"/>
  <c r="J18" i="9" s="1"/>
  <c r="C53" i="9"/>
  <c r="C6" i="7"/>
  <c r="D39" i="8" s="1"/>
  <c r="G5" i="7"/>
  <c r="H5" i="7" s="1"/>
  <c r="H43" i="2"/>
  <c r="I43" i="2" s="1"/>
  <c r="E43" i="2"/>
  <c r="E39" i="10"/>
  <c r="C7" i="9"/>
  <c r="F39" i="10" s="1"/>
  <c r="H39" i="10" s="1"/>
  <c r="H19" i="2"/>
  <c r="I19" i="2" s="1"/>
  <c r="E19" i="2"/>
  <c r="H26" i="2"/>
  <c r="I26" i="2" s="1"/>
  <c r="E26" i="2"/>
  <c r="H5" i="2"/>
  <c r="I5" i="2" s="1"/>
  <c r="E5" i="2"/>
  <c r="C6" i="2"/>
  <c r="C15" i="2"/>
  <c r="H14" i="2"/>
  <c r="I14" i="2" s="1"/>
  <c r="I15" i="2" s="1"/>
  <c r="E14" i="2"/>
  <c r="C16" i="2"/>
  <c r="H50" i="2"/>
  <c r="I50" i="2" s="1"/>
  <c r="E50" i="2"/>
  <c r="J15" i="9"/>
  <c r="E41" i="10" s="1"/>
  <c r="C53" i="2"/>
  <c r="H38" i="2"/>
  <c r="I38" i="2" s="1"/>
  <c r="E38" i="2"/>
  <c r="H45" i="2"/>
  <c r="I45" i="2" s="1"/>
  <c r="E45" i="2"/>
  <c r="C53" i="7"/>
  <c r="G18" i="7"/>
  <c r="H18" i="7" s="1"/>
  <c r="H53" i="7" s="1"/>
  <c r="H21" i="2"/>
  <c r="I21" i="2" s="1"/>
  <c r="E21" i="2"/>
  <c r="E44" i="10"/>
  <c r="E43" i="10"/>
  <c r="H49" i="2"/>
  <c r="I49" i="2" s="1"/>
  <c r="E49" i="2"/>
  <c r="J53" i="9" l="1"/>
  <c r="E61" i="2"/>
  <c r="I6" i="2"/>
  <c r="C7" i="2" s="1"/>
  <c r="H15" i="7"/>
  <c r="E41" i="8" s="1"/>
  <c r="C16" i="7"/>
  <c r="F41" i="8" s="1"/>
  <c r="H41" i="8" s="1"/>
  <c r="C79" i="5"/>
  <c r="C54" i="9"/>
  <c r="C55" i="9"/>
  <c r="F42" i="10" s="1"/>
  <c r="H42" i="10" s="1"/>
  <c r="H45" i="10" s="1"/>
  <c r="H46" i="10" s="1"/>
  <c r="C47" i="10" s="1"/>
  <c r="C54" i="2"/>
  <c r="I53" i="2"/>
  <c r="I54" i="2" s="1"/>
  <c r="I61" i="2"/>
  <c r="C62" i="2" s="1" a="1"/>
  <c r="C62" i="2" s="1"/>
  <c r="H45" i="3" s="1"/>
  <c r="H46" i="3" s="1"/>
  <c r="C47" i="3" s="1"/>
  <c r="C55" i="7"/>
  <c r="C54" i="7"/>
  <c r="H6" i="7"/>
  <c r="D42" i="10" l="1"/>
  <c r="J54" i="9"/>
  <c r="E42" i="10" s="1"/>
  <c r="D42" i="8"/>
  <c r="H54" i="7"/>
  <c r="E42" i="8" s="1"/>
  <c r="F42" i="8"/>
  <c r="H42" i="8" s="1"/>
  <c r="F43" i="8"/>
  <c r="H43" i="8" s="1"/>
  <c r="C7" i="7"/>
  <c r="F39" i="8" s="1"/>
  <c r="H39" i="8" s="1"/>
  <c r="E39" i="8"/>
  <c r="C55" i="2"/>
  <c r="H45" i="8" l="1"/>
  <c r="H46" i="8" s="1"/>
  <c r="C47" i="8" s="1"/>
</calcChain>
</file>

<file path=xl/sharedStrings.xml><?xml version="1.0" encoding="utf-8"?>
<sst xmlns="http://schemas.openxmlformats.org/spreadsheetml/2006/main" count="712" uniqueCount="382">
  <si>
    <t>ĐẢNG CỘNG SẢN VIỆT NAM</t>
  </si>
  <si>
    <t>TT</t>
  </si>
  <si>
    <t>Tên công việc</t>
  </si>
  <si>
    <t>Kết quả đầu ra</t>
  </si>
  <si>
    <t>Thời hạn hoàn thành</t>
  </si>
  <si>
    <t>Loại công việc</t>
  </si>
  <si>
    <t>Điểm chuẩn</t>
  </si>
  <si>
    <t>Hệ số độ khó</t>
  </si>
  <si>
    <t>Điểm quy đổi tối đa</t>
  </si>
  <si>
    <t>Minh chứng</t>
  </si>
  <si>
    <t>I</t>
  </si>
  <si>
    <t xml:space="preserve">Trục (1) - THỰC HIỆN MỤC TIÊU PHÁT TRIỂN KINH TẾ - XÃ HỘI VÀ NHIỆM VỤ CHÍNH TRỊ ĐƯỢC GIAO </t>
  </si>
  <si>
    <t>II</t>
  </si>
  <si>
    <t xml:space="preserve"> Trục (2) - HOÀN THIỆN THỂ CHẾ, ĐẨY MẠNH PHÂN CẤP, PHÂN QUYỀN GẮN VỚI KIỂM TRA, GIÁM SÁT</t>
  </si>
  <si>
    <t>III</t>
  </si>
  <si>
    <t xml:space="preserve">THÚC ĐẨY PHÁT TRIỂN KHOA HỌC, CÔNG NGHỆ, ĐỔI MỚI SÁNG TẠO VÀ CHUYỂN ĐỔI SỐ </t>
  </si>
  <si>
    <t>IV</t>
  </si>
  <si>
    <t>Rà soát nhu cầu, cơ sở đào tạo, bồi dưỡng, chủ động xây dựng kế hoạch đào tạo, bồi dưỡng cho cán bộ cơ sở phù hợp với yêu cầu nhiệm vụ tại địa phương; báo cáo về Trung ương (qua Ban Tổ chức Trung ương) đối với nội dung cần Trung ương hỗ trợ đào tạo, bồi dưỡng (Công văn số 251-CV/TU ngày 31/3/2026). Hoàn thành trong tháng 6/2026</t>
  </si>
  <si>
    <t>V</t>
  </si>
  <si>
    <t xml:space="preserve"> (5) - PHÁT TRIỂN VĂN HÓA, CON NGƯỜI, BẢO ĐẢM AN SINH XÃ HỘI, NÂNG CAO ĐỜI SỐNG NHÂN DÂN</t>
  </si>
  <si>
    <t>VI</t>
  </si>
  <si>
    <t>(6) - CỦNG CỐ QUỐC PHÒNG, AN NINH, GIỮ VỮNG ỔN ĐỊNH CHÍNH TRỊ - XÃ HỘI, NÂNG CAO HIỆU QUẢ ĐỐI NGOẠI VÀ HỘI NHẬP QUỐC TẾ</t>
  </si>
  <si>
    <t>TRƯỞNG BAN
(ký, đóng dấu)</t>
  </si>
  <si>
    <t>Ghi chú:</t>
  </si>
  <si>
    <r>
      <rPr>
        <b/>
        <sz val="16"/>
        <rFont val="Times New Roman"/>
        <family val="1"/>
      </rPr>
      <t xml:space="preserve">BẢNG TÍNH ĐIỂM KPI 
</t>
    </r>
    <r>
      <rPr>
        <b/>
        <i/>
        <sz val="16"/>
        <rFont val="Times New Roman"/>
        <family val="1"/>
      </rPr>
      <t>(Lấy ví dụ mô phỏng chức danh Phó trưởng Ban Tổ chức Thành ủy)</t>
    </r>
  </si>
  <si>
    <t>Tiến độ
%</t>
  </si>
  <si>
    <t>Kết quả
%</t>
  </si>
  <si>
    <t>Điểm 
thực hiện</t>
  </si>
  <si>
    <t>Điểm
 quy đổi thực tế</t>
  </si>
  <si>
    <r>
      <rPr>
        <b/>
        <sz val="12"/>
        <rFont val="Times New Roman"/>
        <family val="1"/>
      </rPr>
      <t xml:space="preserve">(3)
</t>
    </r>
    <r>
      <rPr>
        <sz val="12"/>
        <rFont val="Times New Roman"/>
        <family val="1"/>
      </rPr>
      <t xml:space="preserve">= </t>
    </r>
    <r>
      <rPr>
        <i/>
        <sz val="12"/>
        <rFont val="Times New Roman"/>
        <family val="1"/>
      </rPr>
      <t>Điểm chuẩn của công việc được xác định tại Danh mục Sản phẩm chuẩn</t>
    </r>
  </si>
  <si>
    <r>
      <rPr>
        <b/>
        <sz val="12"/>
        <rFont val="Times New Roman"/>
        <family val="1"/>
      </rPr>
      <t xml:space="preserve">(4)
</t>
    </r>
    <r>
      <rPr>
        <sz val="12"/>
        <rFont val="Times New Roman"/>
        <family val="1"/>
      </rPr>
      <t xml:space="preserve">= </t>
    </r>
    <r>
      <rPr>
        <i/>
        <sz val="12"/>
        <rFont val="Times New Roman"/>
        <family val="1"/>
      </rPr>
      <t>HSĐK của công việc được xác định tại Danh mục Sản phẩm chuẩn</t>
    </r>
  </si>
  <si>
    <r>
      <rPr>
        <b/>
        <sz val="12"/>
        <rFont val="Times New Roman"/>
        <family val="1"/>
      </rPr>
      <t xml:space="preserve">(5) 
</t>
    </r>
    <r>
      <rPr>
        <sz val="12"/>
        <rFont val="Times New Roman"/>
        <family val="1"/>
      </rPr>
      <t>= (3) *(4)</t>
    </r>
  </si>
  <si>
    <r>
      <rPr>
        <b/>
        <sz val="12"/>
        <rFont val="Times New Roman"/>
        <family val="1"/>
      </rPr>
      <t xml:space="preserve">(6) </t>
    </r>
    <r>
      <rPr>
        <i/>
        <sz val="12"/>
        <rFont val="Times New Roman"/>
        <family val="1"/>
      </rPr>
      <t>Căn cứ theo thời hạn hoàn thành
+ Hoàn thành đúng hoặc trước hạn: 100%;
+ Hoàn thành chậm 1–  3 ngày làm việc: 80%;
+ Hoàn thành chậm 4 – 5  ngày làm việc: 60%;
+ Hoàn thành chậm trên 5 ngày làm việc: 0%.</t>
    </r>
    <r>
      <rPr>
        <b/>
        <sz val="12"/>
        <rFont val="Times New Roman"/>
        <family val="1"/>
      </rPr>
      <t xml:space="preserve">
</t>
    </r>
  </si>
  <si>
    <r>
      <rPr>
        <b/>
        <sz val="12"/>
        <rFont val="Times New Roman"/>
        <family val="1"/>
      </rPr>
      <t xml:space="preserve">(7) </t>
    </r>
    <r>
      <rPr>
        <i/>
        <sz val="12"/>
        <rFont val="Times New Roman"/>
        <family val="1"/>
      </rPr>
      <t>Căn cứ chất lượng sản phẩm
+ Đạt đầy đủ yêu cầu: 100%;
+ Đạt yêu cầu, chỉnh sửa nhỏ: 80%;
+ Hoàn thành cơ bản: 60%;
+ Không đạt yêu cầu: 0%.</t>
    </r>
  </si>
  <si>
    <r>
      <rPr>
        <b/>
        <sz val="12"/>
        <rFont val="Times New Roman"/>
        <family val="1"/>
      </rPr>
      <t xml:space="preserve">(8)
</t>
    </r>
    <r>
      <rPr>
        <sz val="12"/>
        <rFont val="Times New Roman"/>
        <family val="1"/>
      </rPr>
      <t>= (3) * {30% (6)+70%(7)}</t>
    </r>
  </si>
  <si>
    <r>
      <rPr>
        <b/>
        <sz val="12"/>
        <rFont val="Times New Roman"/>
        <family val="1"/>
      </rPr>
      <t xml:space="preserve">(9)
</t>
    </r>
    <r>
      <rPr>
        <sz val="12"/>
        <rFont val="Times New Roman"/>
        <family val="1"/>
      </rPr>
      <t>= (8)*(4)</t>
    </r>
  </si>
  <si>
    <r>
      <rPr>
        <sz val="13"/>
        <rFont val="Times New Roman"/>
        <family val="1"/>
      </rPr>
      <t xml:space="preserve">Công văn số 1506-CV/BTCTU ngày 23/4/2026 rà soát các khoản chi thường xuyên để điều chỉnh dự toán ngân sách nhà nước năm 2026 (Công văn số 2846-CV/VPTU ngày 17/4/2026)
</t>
    </r>
    <r>
      <rPr>
        <i/>
        <sz val="13"/>
        <color rgb="FFFF0000"/>
        <rFont val="Times New Roman"/>
        <family val="1"/>
      </rPr>
      <t>(trước hạn, đạt đầy đủ yêu cầu)</t>
    </r>
  </si>
  <si>
    <t>Tổng điểm A trục 1</t>
  </si>
  <si>
    <t>Tổng điểm B trục 1</t>
  </si>
  <si>
    <r>
      <rPr>
        <b/>
        <i/>
        <sz val="13"/>
        <rFont val="Times New Roman"/>
        <family val="1"/>
      </rPr>
      <t xml:space="preserve">KPI % (trục 1) = B/A </t>
    </r>
    <r>
      <rPr>
        <i/>
        <sz val="13"/>
        <rFont val="Times New Roman"/>
        <family val="1"/>
      </rPr>
      <t>(nếu không có nhiệm vụ thì KPI được trọn 100%)</t>
    </r>
    <r>
      <rPr>
        <b/>
        <i/>
        <sz val="13"/>
        <rFont val="Times New Roman"/>
        <family val="1"/>
      </rPr>
      <t xml:space="preserve"> </t>
    </r>
  </si>
  <si>
    <t>(Điểm % này được sử dụng để đưa vào cột Điểm KPI (%) tại trục 1, phần II, mẫu 1. Bản tự nhận xét, đánh giá của cá nhân)</t>
  </si>
  <si>
    <t>Tổng điểm A trục 2</t>
  </si>
  <si>
    <t>Tổng điểm B trục 2</t>
  </si>
  <si>
    <r>
      <rPr>
        <b/>
        <i/>
        <sz val="13"/>
        <rFont val="Times New Roman"/>
        <family val="1"/>
      </rPr>
      <t xml:space="preserve">KPI % (trục 2) = B/A </t>
    </r>
    <r>
      <rPr>
        <i/>
        <sz val="13"/>
        <rFont val="Times New Roman"/>
        <family val="1"/>
      </rPr>
      <t>(nếu không có nhiệm vụ thì KPI được trọn 100%)</t>
    </r>
    <r>
      <rPr>
        <b/>
        <i/>
        <sz val="13"/>
        <rFont val="Times New Roman"/>
        <family val="1"/>
      </rPr>
      <t xml:space="preserve"> </t>
    </r>
  </si>
  <si>
    <t>(Điểm % này được sử dụng để đưa vào cột Điểm KPI (%) tại trục 2, phần II, mẫu 1. Bản tự nhận xét, đánh giá của cá nhân)</t>
  </si>
  <si>
    <r>
      <rPr>
        <sz val="13"/>
        <rFont val="Times New Roman"/>
        <family val="1"/>
      </rPr>
      <t xml:space="preserve">Công văn số 1461-CV/BTCTU ngày 20/4/2026 về khai thác dữ liệu văn bản điện tử không mật của Thành phố Hồ Chí Minh (cũ), Tỉnh Bình Dương, Tỉnh Bà Rịa - Vũng Tàu trước sáp nhập (Công văn số 2519-CV/VPTU ngày 30/3/2026)
</t>
    </r>
    <r>
      <rPr>
        <i/>
        <sz val="13"/>
        <color rgb="FFFF0000"/>
        <rFont val="Times New Roman"/>
        <family val="1"/>
      </rPr>
      <t>(trước hạn, đạt yêu cầu, chỉnh sửa nhỏ)</t>
    </r>
  </si>
  <si>
    <t>Tổng điểm A trục 3</t>
  </si>
  <si>
    <t>Tổng điểm B trục 3</t>
  </si>
  <si>
    <r>
      <rPr>
        <b/>
        <i/>
        <sz val="13"/>
        <rFont val="Times New Roman"/>
        <family val="1"/>
      </rPr>
      <t xml:space="preserve">KPI % (trục 3) = B/A </t>
    </r>
    <r>
      <rPr>
        <i/>
        <sz val="13"/>
        <rFont val="Times New Roman"/>
        <family val="1"/>
      </rPr>
      <t>(nếu không có nhiệm vụ thì KPI được trọn 100%)</t>
    </r>
    <r>
      <rPr>
        <b/>
        <i/>
        <sz val="13"/>
        <rFont val="Times New Roman"/>
        <family val="1"/>
      </rPr>
      <t xml:space="preserve"> </t>
    </r>
  </si>
  <si>
    <t>(Điểm % này được sử dụng để đưa vào cột Điểm KPI (%) tại trục 3, phần II, mẫu 1. Bản tự nhận xét, đánh giá của cá nhân)</t>
  </si>
  <si>
    <t>(4) - XÂY DỰNG ĐẢNG VÀ HỆ THỐNG CHÍNH TRỊ TRONG SẠCH, VỮNG MẠNH; GIỮ GÌN ĐOÀN KẾT, THỐNG NHẤT NỘI BỘ; PHÒNG, CHỐNG THAM NHŨNG, LÃNG PHÍ, TIÊU CỰC</t>
  </si>
  <si>
    <r>
      <rPr>
        <sz val="13"/>
        <color rgb="FF000000"/>
        <rFont val="Times New Roman"/>
        <family val="1"/>
      </rPr>
      <t xml:space="preserve">Kế hoạch số 54-KH/TU ngày 06/4/2026 rà soát, bổ sung quy hoạch nguồn Thành ủy khóa I và cán bộ lãnh đạo, quản lý thuộc Thành ủy khóa I, nhiệm kỳ 2025-2030
</t>
    </r>
    <r>
      <rPr>
        <i/>
        <sz val="13"/>
        <color rgb="FFFF0000"/>
        <rFont val="Times New Roman"/>
        <family val="1"/>
      </rPr>
      <t>(trễ hạn &gt;=5 ngày, đạt yêu cầu, chỉnh sửa nhỏ)</t>
    </r>
  </si>
  <si>
    <r>
      <rPr>
        <sz val="13"/>
        <rFont val="Times New Roman"/>
        <family val="1"/>
      </rPr>
      <t xml:space="preserve">Công văn số 1410-CV/BTCTU ngày 14/4/2026 hỗ trợ, cung cấp thông tin quy hoạch các cá nhân thuộc diện Ban Thường vụ Thành ủy quản lý (Công văn số 1706/TTTP-TCCB ngày 09/4/2026 của Thanh tra Thành phố)
</t>
    </r>
    <r>
      <rPr>
        <b/>
        <i/>
        <sz val="13"/>
        <color rgb="FFFF0000"/>
        <rFont val="Times New Roman"/>
        <family val="1"/>
      </rPr>
      <t>(trễ hạn &gt;=5 ngày, đạt đầy đủ yêu cầu )</t>
    </r>
  </si>
  <si>
    <r>
      <rPr>
        <sz val="13"/>
        <rFont val="Times New Roman"/>
        <family val="1"/>
      </rPr>
      <t xml:space="preserve">Công văn số 294-CV/TU ngày 22/4/2026 triển khai Kết luận số 12-KL/TW, ngày 19/3/2026 của Bộ Chính trị về kết quả kiểm điểm, đánh giá, xếp loại chất lượng đối với tập thể, cá nhân ban thường vụ các tỉnh ủy, thành ủy, đảng ủy trực thuộc Trung ương; tập thể, cá nhân cán bộ lãnh đạo, quản lý các cơ quan, đơn vị ở Trung ương năm 2025 (Phiếu chuyển số 410-PC/VPTU ngày 27/3/2026)
</t>
    </r>
    <r>
      <rPr>
        <i/>
        <sz val="13"/>
        <color rgb="FFFF0000"/>
        <rFont val="Times New Roman"/>
        <family val="1"/>
      </rPr>
      <t>(trước hạn, đạt đầy đủ yêu cầu)</t>
    </r>
  </si>
  <si>
    <r>
      <rPr>
        <sz val="13"/>
        <rFont val="Times New Roman"/>
        <family val="1"/>
      </rPr>
      <t xml:space="preserve">Công văn số 251-CV/TU ngày 31/3/2026 chỉ đạo tiến hành rà soát, đánh giá tổng thể về số lượng, chất lượng đội ngũ cán bộ cơ sở, tổng hợp báo cáo Ban Thường vụ Thành ủy chất lượng đội ngũ cán bộ cơ sở 
</t>
    </r>
    <r>
      <rPr>
        <i/>
        <sz val="13"/>
        <color rgb="FFFF0000"/>
        <rFont val="Times New Roman"/>
        <family val="1"/>
      </rPr>
      <t>(trước hạn, đạt đầy đủ yêu cầu)</t>
    </r>
  </si>
  <si>
    <r>
      <rPr>
        <sz val="13"/>
        <rFont val="Times New Roman"/>
        <family val="1"/>
      </rPr>
      <t xml:space="preserve">Công văn số 295-CV/TU ngày 22/4/2026 thực hiện Kết luận số 16-KL/TW, ngày 31/3/2026 của Bộ Chính trị, Ban Bí thư về thực hiện một số nội dung, nhiệm vụ trọng tâm hoạt động của tổ chức cơ sở đảng trong quý II năm 2026 (Phiếu chuyển số 473-PC/VPTU ngay 03/4/2026)
</t>
    </r>
    <r>
      <rPr>
        <i/>
        <sz val="13"/>
        <color rgb="FFFF0000"/>
        <rFont val="Times New Roman"/>
        <family val="1"/>
      </rPr>
      <t>(trễ hạn 4-5 ngày, đạt đầy đủ yêu cầu)</t>
    </r>
  </si>
  <si>
    <r>
      <rPr>
        <sz val="13"/>
        <rFont val="Times New Roman"/>
        <family val="1"/>
      </rPr>
      <t xml:space="preserve">Kế hoạch số 62-KH/TU ngày 22/4/2026 tổ chức tiếp Đoàn khảo sát về công tác xây dựng, chỉnh đốn Đảng và hệ thống chính trị; củng cố, nâng cao chất lượng tổ chức đảng và đội ngũ đảng viên (Kế hoạch số 21-KH/BTCTTW ngày 15/4/2026, Phiếu chuyển 559-PC/VPTU ngày 16/4/2026)
</t>
    </r>
    <r>
      <rPr>
        <i/>
        <sz val="13"/>
        <color rgb="FFFF0000"/>
        <rFont val="Times New Roman"/>
        <family val="1"/>
      </rPr>
      <t>(đúng hạn, đạt đầy đủ yêu cầu)</t>
    </r>
  </si>
  <si>
    <r>
      <rPr>
        <sz val="13"/>
        <rFont val="Times New Roman"/>
        <family val="1"/>
      </rPr>
      <t xml:space="preserve">Nghị quyết số 09-NQ/TU ngày 14/4/42026 của Ban Thường vụ Thành ủy về giải pháp nâng cao chất lượng cán bộ cơ sở; bảo đảm mọi giải pháp đều có cơ chế theo dõi, kiểm tra, phản hồi và chịu trách nhiệm  (Công văn số 251-CV/TU ngày 31/3/2026)
</t>
    </r>
    <r>
      <rPr>
        <i/>
        <sz val="13"/>
        <color rgb="FFFF0000"/>
        <rFont val="Times New Roman"/>
        <family val="1"/>
      </rPr>
      <t>(đúng hạn, đạt đầy đủ yêu cầu)</t>
    </r>
  </si>
  <si>
    <r>
      <rPr>
        <sz val="13"/>
        <rFont val="Times New Roman"/>
        <family val="1"/>
      </rPr>
      <t xml:space="preserve">Quyết định số 790-QĐ/TU ngày 22/4/2026 tham mưu cử cán bộ đi nghiên cứu, khảo sát tại Trung Quốc (Công văn số 508-CV/BTCTW ngày 03/4/2026, Phiếu chuyển 482-PC/VPTU ngày 06/4/2026)
</t>
    </r>
    <r>
      <rPr>
        <i/>
        <sz val="13"/>
        <color rgb="FFFF0000"/>
        <rFont val="Times New Roman"/>
        <family val="1"/>
      </rPr>
      <t>(đúng hạn, đạt yêu cầu, chỉnh sửa nhỏ)</t>
    </r>
  </si>
  <si>
    <r>
      <rPr>
        <sz val="13"/>
        <rFont val="Times New Roman"/>
        <family val="1"/>
      </rPr>
      <t xml:space="preserve">Tờ trình số 539-TTr/BTCTU ngày 21/4/2026 về cử cán bộ tham gia khóa bồi dưỡng ngắn hạn tại Nhật Bản (Công văn số 10-CV/BCĐ ngày 31/3/2026 của Ban Chỉ đạo các chương trình đào tạo, bồi dưỡng nước ngoài Trung ương)
</t>
    </r>
    <r>
      <rPr>
        <i/>
        <sz val="13"/>
        <color rgb="FFFF0000"/>
        <rFont val="Times New Roman"/>
        <family val="1"/>
      </rPr>
      <t>(đúng hạn, đạt đầy đủ yêu cầu)</t>
    </r>
  </si>
  <si>
    <t>Công văn số 1308-CV/BTCTU ngày 31/3/2026 xác minh hồ sơ và đề nghị xử lý kỷ luật Đảng viên vi phạm - Hoàng Xuân Tuấn (Công văn số 7970/CQCSĐT, 25/3/2026 của Cơ quan CSĐT CA.TPHCM)
(trễ hạn 1 ngày, đạt đầy đủ yêu cầu)</t>
  </si>
  <si>
    <r>
      <rPr>
        <sz val="13"/>
        <rFont val="Times New Roman"/>
        <family val="1"/>
      </rPr>
      <t xml:space="preserve">Công văn số 1441-CV/BTCTU ngày 17/4/2026 hướng dẫn rà soát, quy hoạch cán bộ năm 2026 đối với người giữ chức danh, chức vụ quản lý trong doanh nghiệp do Nhà nước nắm giữ 100% vốn điều lệ thuộc Ủy ban nhân dân Thành phố (Công văn số 5812/SNV ngày 09/4/2026
</t>
    </r>
    <r>
      <rPr>
        <i/>
        <sz val="13"/>
        <color rgb="FFFF0000"/>
        <rFont val="Times New Roman"/>
        <family val="1"/>
      </rPr>
      <t>(trước hạn, đạt đầy đủ yêu cầu)</t>
    </r>
  </si>
  <si>
    <r>
      <rPr>
        <sz val="13"/>
        <rFont val="Times New Roman"/>
        <family val="1"/>
      </rPr>
      <t xml:space="preserve">Công văn số 1496-CV/BTCTU ngày 22/4/2026 báo cáo kinh phí mua vé máy bay đi công tác nước ngoài cho một số chức danh lãnh đạo của Thành phố (Công văn số 2731-CV/VPTU ngày 10/4/2026)
</t>
    </r>
    <r>
      <rPr>
        <i/>
        <sz val="13"/>
        <color rgb="FFFF0000"/>
        <rFont val="Times New Roman"/>
        <family val="1"/>
      </rPr>
      <t>(đúng hạn, đạt đầy đủ yêu cầu)</t>
    </r>
  </si>
  <si>
    <r>
      <rPr>
        <sz val="13"/>
        <rFont val="Times New Roman"/>
        <family val="1"/>
      </rPr>
      <t xml:space="preserve">Công văn số 1459-CV/BTCTU ngày 20/4/2026 cử cán bộ tham gia Đoàn kiểm tra việc lãnh đạo, chỉ đạo và tổ chức thực hiện Kết luận số 89-KL/TW (Công văn số 1234-CV/BTGDVTU ngày 16 tháng 4 năm 2026)
</t>
    </r>
    <r>
      <rPr>
        <i/>
        <sz val="13"/>
        <color rgb="FFFF0000"/>
        <rFont val="Times New Roman"/>
        <family val="1"/>
      </rPr>
      <t>(trễ hạn &gt;=5 ngày, đạt đầy đủ yêu cầu)</t>
    </r>
  </si>
  <si>
    <r>
      <rPr>
        <sz val="13"/>
        <rFont val="Times New Roman"/>
        <family val="1"/>
      </rPr>
      <t xml:space="preserve">Công văn số 1496-CV/BTCTU ngày 22/4/2026 báo cáo kinh phí mua vé máy bay đi công tác nước ngoài cho một số chức danh lãnh đạo của Thành phố (Công văn số 2731-CV/VPTU ngày 10/4/2026)
</t>
    </r>
    <r>
      <rPr>
        <i/>
        <sz val="13"/>
        <color rgb="FFFF0000"/>
        <rFont val="Times New Roman"/>
        <family val="1"/>
      </rPr>
      <t>(đúng hạn, đạt đầy đủ yêu cầu)</t>
    </r>
  </si>
  <si>
    <t>Theo yêu cầu của cấp thẩm quyền</t>
  </si>
  <si>
    <t xml:space="preserve">Công văn số 303-CV/TU ngày 30/4/2026 góp ý các dự thảo bổ sung, sửa đổi quy định, quyết định của Ban Bí thư (Quy định số 60-QĐ/TW và Quyết định số 61-QĐ/TW) - Công văn số 722-CV/BTCTW ngày 25/4/2026
(trễ hạn1 ngày, đạt yêu cầu, chỉnh sửa nhỏ)
</t>
  </si>
  <si>
    <r>
      <rPr>
        <sz val="13"/>
        <rFont val="Times New Roman"/>
        <family val="1"/>
      </rPr>
      <t xml:space="preserve">Công văn số 340-CV/TU ngày 21/5/2026 góp ý các dự thảo quy định của Ban Bí thư về chức năng, nhiệm vụ, tổ chức bộ máy, mối quan hệ công tác của tổ chức đảng trong các cơ sở giáo dục đại học công lập theo Công văn số 788-CV/BTCTW ngày 05/5/2026 (Công văn số 3176-CV/VPTU ngày 06/5/2026)
</t>
    </r>
    <r>
      <rPr>
        <i/>
        <sz val="13"/>
        <color rgb="FFFF0000"/>
        <rFont val="Times New Roman"/>
        <family val="1"/>
      </rPr>
      <t>(trước hạn, đạt đầy đủ yêu cầu)</t>
    </r>
  </si>
  <si>
    <r>
      <rPr>
        <sz val="13"/>
        <rFont val="Times New Roman"/>
        <family val="1"/>
      </rPr>
      <t xml:space="preserve">Tham mưu góp ý hồ sơ dự thảo quyết định của UBND Thành phố ban hành quy định về kiểm điểm, dánh giá, xếp loại chất lượng đối với cơ quan hành chính Nhà nước và công chức trên địa bàn TPHCM
</t>
    </r>
    <r>
      <rPr>
        <i/>
        <sz val="13"/>
        <color rgb="FFFF0000"/>
        <rFont val="Times New Roman"/>
        <family val="1"/>
      </rPr>
      <t>(đúng hạn, đạt đầy đủ yêu cầu)</t>
    </r>
  </si>
  <si>
    <r>
      <rPr>
        <sz val="13"/>
        <rFont val="Times New Roman"/>
        <family val="1"/>
      </rPr>
      <t xml:space="preserve">Công văn số 337-CV/TU ngày 19/5/2026 góp ý dự thảo Hướng dẫn nội dung chương trình bồi dưỡng thuộc chức năng, nhiệm vụ của trường chính trị giai đoạn 2026-2030 theo Công văn số 901-CV/HVCTQG ngày 04/5/2026 (Phiếu chuyển số 664-PC/VPTU ngày 05/5/2026)
</t>
    </r>
    <r>
      <rPr>
        <i/>
        <sz val="13"/>
        <color rgb="FFFF0000"/>
        <rFont val="Times New Roman"/>
        <family val="1"/>
      </rPr>
      <t>(đúng hạn, đạt đầy đủ yêu cầu)</t>
    </r>
  </si>
  <si>
    <r>
      <rPr>
        <sz val="13"/>
        <rFont val="Times New Roman"/>
        <family val="1"/>
      </rPr>
      <t xml:space="preserve">Công văn số 333-CV/TU ngày 18/5/2026 góp ý dự thảo Kết luận của Ban Bí thư về tiếp tục thực hiện Chỉ thị số 33-CT/TW, ngày 18/3/2019 của Ban Bí thư về tăng cường xây dựng tổ chức đảng trong các đơn vị kinh tế tư nhân (Phiếu chuyển số 727-PC/VPTU ngày 13/5/2026)
</t>
    </r>
    <r>
      <rPr>
        <i/>
        <sz val="13"/>
        <color rgb="FFFF0000"/>
        <rFont val="Times New Roman"/>
        <family val="1"/>
      </rPr>
      <t>(trễ hạn 4 ngày, đạt đầy đủ yêu cầu)</t>
    </r>
  </si>
  <si>
    <r>
      <rPr>
        <sz val="13"/>
        <rFont val="Times New Roman"/>
        <family val="1"/>
      </rPr>
      <t xml:space="preserve">Công văn số 340-CV/TU ngày 21/5/2026 góp ý dự thảo Quy phối hợp công tác giữa đảng ủy bộ, ngành Trung ương với cấp ủy cấp trên trực tiếp của tổ chức đảng trong cơ sở giáo dục đại học công lập (Công văn số 871-CV/BTCTW ngày 12/5/2026 của Ban Tổ chức Trung ương)
</t>
    </r>
    <r>
      <rPr>
        <i/>
        <sz val="13"/>
        <color rgb="FFFF0000"/>
        <rFont val="Times New Roman"/>
        <family val="1"/>
      </rPr>
      <t>(trước hạn, đạt đầy đủ yêu cầu)</t>
    </r>
  </si>
  <si>
    <r>
      <rPr>
        <sz val="13"/>
        <rFont val="Times New Roman"/>
        <family val="1"/>
      </rPr>
      <t xml:space="preserve">Quyết định số 821-QĐ/TU ngày 22/5/2026 tạm giao biên chế năm 2026 của Khối Đảng, Cơ quan Mặt trận Tổ quốc Việt Nam Thành phố; khối Đảng, cơ quan Ủy ban Mặt trận Tổ quốc Việt Nam xã, phường, đặc khu năm 2026 để tiếp nhận một số cán bộ không chuyên trách đủ điều kiện vào công chức
</t>
    </r>
    <r>
      <rPr>
        <i/>
        <sz val="13"/>
        <color rgb="FFFF0000"/>
        <rFont val="Times New Roman"/>
        <family val="1"/>
      </rPr>
      <t>(trễ hạn 3ngày, đạt yêu cầu, chỉnh sửa nhỏ)</t>
    </r>
  </si>
  <si>
    <r>
      <rPr>
        <sz val="13"/>
        <rFont val="Times New Roman"/>
        <family val="1"/>
      </rPr>
      <t xml:space="preserve">Công văn số 1771-CV/BTCTU ngày 18/5/2026 Hướng dẫn xây dựng Đề án vị trí việc làm công chức, viên chức
</t>
    </r>
    <r>
      <rPr>
        <i/>
        <sz val="13"/>
        <color rgb="FFFF0000"/>
        <rFont val="Times New Roman"/>
        <family val="1"/>
      </rPr>
      <t>(trễ hạn 1 ngày, đạt đầy đủ yêu cầu)</t>
    </r>
  </si>
  <si>
    <r>
      <rPr>
        <sz val="13"/>
        <rFont val="Times New Roman"/>
        <family val="1"/>
      </rPr>
      <t xml:space="preserve">Tờ trình số 648-TTr/BTCTU ngày 24/5/2026 báo cáo chuyên đề những điểm mới, mô hình, sáng kiến, cách làm hiệu quả, kết quả nổi bật của TP.HCM sau 1 năm vận hành chính quyền địa phương 2 cấp; đề xuất, kiến nghị (Công văn số 341-CV/TU ngày 21/5/2026)
</t>
    </r>
    <r>
      <rPr>
        <i/>
        <sz val="13"/>
        <color rgb="FFFF0000"/>
        <rFont val="Times New Roman"/>
        <family val="1"/>
      </rPr>
      <t>(đúng hạn, đạt đầy đủ yêu cầu)</t>
    </r>
  </si>
  <si>
    <r>
      <rPr>
        <sz val="13"/>
        <rFont val="Times New Roman"/>
        <family val="1"/>
      </rPr>
      <t xml:space="preserve">Tờ trình số 648-TTr/BTCTU ngày 24/5/2026
Tờ trình số 6454TTr/BTCTU ngày 27/5/2026 về dự thảo Báo cáo của Ban Thường vụ Thành ủy về sơ kết 01 năm vận hành bộ máy của hệ thống chính trị và chính quyền địa phương 2 (Kế hoạch số 73-KH/TU ngày 19/5/2026)
</t>
    </r>
    <r>
      <rPr>
        <i/>
        <sz val="13"/>
        <color rgb="FFFF0000"/>
        <rFont val="Times New Roman"/>
        <family val="1"/>
      </rPr>
      <t>(trễ hạn 1 ngày, đạt đầy đủ yêu cầu)</t>
    </r>
  </si>
  <si>
    <r>
      <rPr>
        <sz val="13"/>
        <rFont val="Times New Roman"/>
        <family val="1"/>
      </rPr>
      <t xml:space="preserve">Công văn số 1563-CV/BTCTU ngày 29/4/2026 phúc đáp Công văn số 451/SNV- TCBC&amp;TCPCP ngày 21/4/2026 của Sở Nội vụ
</t>
    </r>
    <r>
      <rPr>
        <i/>
        <sz val="13"/>
        <color rgb="FFFF0000"/>
        <rFont val="Times New Roman"/>
        <family val="1"/>
      </rPr>
      <t>(đúng hạn, đạt đầy đủ yêu cầu)</t>
    </r>
  </si>
  <si>
    <r>
      <rPr>
        <sz val="13"/>
        <rFont val="Times New Roman"/>
        <family val="1"/>
      </rPr>
      <t xml:space="preserve">Hướng dẫn số 03-HD/BTCTU ngày 22/5/2026 về chức năng, nhiệm vụ, tổ chức bộ máy Trung tâm chính trị xã, phường, đặc khu trên địa bàn TP.HCM
</t>
    </r>
    <r>
      <rPr>
        <i/>
        <sz val="13"/>
        <color rgb="FFFF0000"/>
        <rFont val="Times New Roman"/>
        <family val="1"/>
      </rPr>
      <t>(đúng hạn, đạt đầy đủ yêu cầu)</t>
    </r>
  </si>
  <si>
    <r>
      <rPr>
        <sz val="13"/>
        <rFont val="Times New Roman"/>
        <family val="1"/>
      </rPr>
      <t xml:space="preserve">Công văn số 1766-CV/BTCTU ngày 15/5/2026 Báo cáo sơ kết 5 năm thực hiện Chỉ thị số 04-CT/TW của Ban Bí thư (Công văn số 1564-CV/BNCTU-P3 ngày 14/5/2026)
</t>
    </r>
    <r>
      <rPr>
        <i/>
        <sz val="13"/>
        <color rgb="FFFF0000"/>
        <rFont val="Times New Roman"/>
        <family val="1"/>
      </rPr>
      <t>(đúng hạn, đạt đầy đủ yêu cầu)</t>
    </r>
  </si>
  <si>
    <r>
      <rPr>
        <sz val="13"/>
        <rFont val="Times New Roman"/>
        <family val="1"/>
      </rPr>
      <t xml:space="preserve">Công văn 1717-CV/BTCTU, 14/5/2026 phúc đáp Công văn số 6837/STC-QLNS ngày 23 tháng 3 năm 2026 của Sở Tài Chính về đề nghị cung cấp biên chế khối Đảng, cơ quan Ủy ban Mặt trận Tổ quốc Việt Nam Thành phố; khối Đảng, cơ quan Ủy ban Mặt trận Tổ quốc Việt Nam xã, phường, đặc khu năm 2026 và dự kiến đề xuất năm 2027
</t>
    </r>
    <r>
      <rPr>
        <i/>
        <sz val="13"/>
        <color rgb="FFFF0000"/>
        <rFont val="Times New Roman"/>
        <family val="1"/>
      </rPr>
      <t>(đúng hạn, đạt đầy đủ yêu cầu)</t>
    </r>
  </si>
  <si>
    <r>
      <rPr>
        <sz val="13"/>
        <rFont val="Times New Roman"/>
        <family val="1"/>
      </rPr>
      <t xml:space="preserve">Công văn số 1779-CV/BTCTU ngày 18/5/2026 góp ý dự thảo sửa đổi, bổ sung Quy chế làm việc của Ban Chấp hành, Ban Thường vụ, Thường trực Đảng ủy xã Cần Giờ nhiệm kỳ 2025 - 2030 (Công văn số 269-CV/ĐU ngày 13/5/2026 của Ban Thường vụ Đảng ủy xã Cần Giờ)
</t>
    </r>
    <r>
      <rPr>
        <i/>
        <sz val="13"/>
        <color rgb="FFFF0000"/>
        <rFont val="Times New Roman"/>
        <family val="1"/>
      </rPr>
      <t>(đúng hạn, đạt đầy đủ yêu cầu)</t>
    </r>
  </si>
  <si>
    <r>
      <rPr>
        <sz val="13"/>
        <rFont val="Times New Roman"/>
        <family val="1"/>
      </rPr>
      <t xml:space="preserve">Công văn số 1810-CV/BTCTU ngày 19/5/2026 lấy ý kiến dự thảo Báo cáo kết quả kiểm điểm các cá nhân, tổ chức có liên quan đến công tác tham mưu dự án Trung tâm sát hạch lái xe Hải Vân (Công văn số 7980/SNV-XDCQTTN ngày 13/5/2026 của Sở Nội vụ)
</t>
    </r>
    <r>
      <rPr>
        <i/>
        <sz val="13"/>
        <color rgb="FFFF0000"/>
        <rFont val="Times New Roman"/>
        <family val="1"/>
      </rPr>
      <t>(đúng hạn, đạt đầy đủ yêu cầu)</t>
    </r>
  </si>
  <si>
    <r>
      <rPr>
        <sz val="13"/>
        <rFont val="Times New Roman"/>
        <family val="1"/>
      </rPr>
      <t xml:space="preserve">Công văn số 1435-CV/BTCTU ngày 16/4/2026 phúc đáp Công văn số 712/MTTQ-BTT ngày 06/4/2026 về trao đổi thông tin liên quan đến đánh giá, xếp loại chất lượng cán bộ lãnh đạo, quản lý
</t>
    </r>
    <r>
      <rPr>
        <i/>
        <sz val="13"/>
        <color rgb="FFFF0000"/>
        <rFont val="Times New Roman"/>
        <family val="1"/>
      </rPr>
      <t>(đúng hạn, đạt đầy đủ yêu cầu)</t>
    </r>
  </si>
  <si>
    <r>
      <rPr>
        <sz val="13"/>
        <rFont val="Times New Roman"/>
        <family val="1"/>
      </rPr>
      <t xml:space="preserve">Công văn số 1881-CV/BTCTU ngày 26/5/2026 phúc đáp Công văn số 8574/SNV-TCBC&amp;TCPCP ngày 21/5/2026 của Sở Nội vụ
</t>
    </r>
    <r>
      <rPr>
        <i/>
        <sz val="13"/>
        <color rgb="FFFF0000"/>
        <rFont val="Times New Roman"/>
        <family val="1"/>
      </rPr>
      <t>(trước hạn, đạt đầy đủ yêu cầu)</t>
    </r>
  </si>
  <si>
    <r>
      <rPr>
        <sz val="13"/>
        <rFont val="Times New Roman"/>
        <family val="1"/>
      </rPr>
      <t xml:space="preserve">Công văn số 1874-CV/BTCTU ngày 25/5/2026 góp ý hồ sơ dự thảo Quyết định ban hành Bộ tiêu chí xã nông thôn mới và Bộ tiêu chí xã nông thôn mới hiện đại trên địa bàn vùng nông thôn Thành phố Hồ Chí Minh giai đoạn 2026 - 2030 (Công văn số 14215/SNNMT-NTM&amp;GN ngày 18/5/2026 của Sở Nông nghiệp và Môi trường)
</t>
    </r>
    <r>
      <rPr>
        <i/>
        <sz val="13"/>
        <color rgb="FFFF0000"/>
        <rFont val="Times New Roman"/>
        <family val="1"/>
      </rPr>
      <t>(trước hạn, đạt đầy đủ yêu cầu)</t>
    </r>
  </si>
  <si>
    <r>
      <rPr>
        <sz val="13"/>
        <rFont val="Times New Roman"/>
        <family val="1"/>
      </rPr>
      <t>Công văn số 1841-CV/BTCTU ngày 22/5/2026 triển khai tuyển sinh, đào tạo thạc sĩ hệ dân sự ngành An ninh phi truyền thống (Công văn số 2469/T01-QLĐT của Học viện An ninh nhân dân)</t>
    </r>
    <r>
      <rPr>
        <i/>
        <sz val="13"/>
        <rFont val="Times New Roman"/>
        <family val="1"/>
      </rPr>
      <t>(trước hạn, đạt đầy đủ yêu cầu</t>
    </r>
    <r>
      <rPr>
        <sz val="13"/>
        <rFont val="Times New Roman"/>
        <family val="1"/>
      </rPr>
      <t>)</t>
    </r>
  </si>
  <si>
    <t>Tổng điểm A trục 4</t>
  </si>
  <si>
    <t>Tổng điểm B trục 4</t>
  </si>
  <si>
    <r>
      <rPr>
        <b/>
        <i/>
        <sz val="13"/>
        <rFont val="Times New Roman"/>
        <family val="1"/>
      </rPr>
      <t xml:space="preserve">KPI % (trục 4) = B/A </t>
    </r>
    <r>
      <rPr>
        <i/>
        <sz val="13"/>
        <rFont val="Times New Roman"/>
        <family val="1"/>
      </rPr>
      <t>(nếu không có nhiệm vụ thì KPI được trọn 100%)</t>
    </r>
    <r>
      <rPr>
        <b/>
        <i/>
        <sz val="13"/>
        <rFont val="Times New Roman"/>
        <family val="1"/>
      </rPr>
      <t xml:space="preserve"> </t>
    </r>
  </si>
  <si>
    <t>(Điểm % này được sử dụng để đưa vào cột Điểm KPI (%) tại trục 4, phần II, mẫu 1. Bản tự nhận xét, đánh giá của cá nhân)</t>
  </si>
  <si>
    <t>Tổng điểm A trục 5</t>
  </si>
  <si>
    <t>Tổng điểm B trục 5</t>
  </si>
  <si>
    <r>
      <rPr>
        <b/>
        <i/>
        <sz val="13"/>
        <rFont val="Times New Roman"/>
        <family val="1"/>
      </rPr>
      <t xml:space="preserve">KPI % (trục 5) = B/A </t>
    </r>
    <r>
      <rPr>
        <i/>
        <sz val="13"/>
        <rFont val="Times New Roman"/>
        <family val="1"/>
      </rPr>
      <t>(nếu không có nhiệm vụ thì KPI được trọn 100%)</t>
    </r>
    <r>
      <rPr>
        <b/>
        <i/>
        <sz val="13"/>
        <rFont val="Times New Roman"/>
        <family val="1"/>
      </rPr>
      <t xml:space="preserve"> </t>
    </r>
  </si>
  <si>
    <t>(Điểm % này được sử dụng để đưa vào cột Điểm KPI (%) tại trục 5, phần II, mẫu 1. Bản tự nhận xét, đánh giá của cá nhân)</t>
  </si>
  <si>
    <t>Điểm giá trị A</t>
  </si>
  <si>
    <t>Điểm giá trị B</t>
  </si>
  <si>
    <r>
      <rPr>
        <b/>
        <i/>
        <sz val="13"/>
        <rFont val="Times New Roman"/>
        <family val="1"/>
      </rPr>
      <t xml:space="preserve">KPI  = B/A*70 </t>
    </r>
    <r>
      <rPr>
        <sz val="13"/>
        <rFont val="Times New Roman"/>
        <family val="1"/>
      </rPr>
      <t>điểm</t>
    </r>
    <r>
      <rPr>
        <b/>
        <i/>
        <sz val="13"/>
        <rFont val="Times New Roman"/>
        <family val="1"/>
      </rPr>
      <t xml:space="preserve"> </t>
    </r>
    <r>
      <rPr>
        <i/>
        <sz val="13"/>
        <rFont val="Times New Roman"/>
        <family val="1"/>
      </rPr>
      <t>(nếu B&gt;A thì KPI là 70)</t>
    </r>
    <r>
      <rPr>
        <b/>
        <i/>
        <sz val="13"/>
        <rFont val="Times New Roman"/>
        <family val="1"/>
      </rPr>
      <t xml:space="preserve"> </t>
    </r>
  </si>
  <si>
    <t>(Điểm % này được sử dụng để đưa vào cột Điểm đạt được, phần I-B, mẫu 1. Bản tự nhận xét, đánh giá của cá nhân)</t>
  </si>
  <si>
    <r>
      <rPr>
        <b/>
        <sz val="14"/>
        <color rgb="FF000000"/>
        <rFont val="Times New Roman"/>
        <family val="1"/>
      </rPr>
      <t xml:space="preserve">Cột 2. Tên công việc: </t>
    </r>
    <r>
      <rPr>
        <sz val="14"/>
        <color rgb="FF000000"/>
        <rFont val="Times New Roman"/>
        <family val="1"/>
      </rPr>
      <t>ghi nội dung ngắn gọn, phản ánh đúng nhiệm vụ;</t>
    </r>
    <r>
      <rPr>
        <b/>
        <sz val="14"/>
        <color rgb="FF000000"/>
        <rFont val="Times New Roman"/>
        <family val="1"/>
      </rPr>
      <t xml:space="preserve">
Cột 3. Điểm chuẩn:</t>
    </r>
    <r>
      <rPr>
        <sz val="14"/>
        <color rgb="FF000000"/>
        <rFont val="Times New Roman"/>
        <family val="1"/>
      </rPr>
      <t xml:space="preserve"> Điểm chuẩn của công việc được xác định tại Danh mục Sản phẩm chuẩn</t>
    </r>
    <r>
      <rPr>
        <b/>
        <sz val="14"/>
        <color rgb="FF000000"/>
        <rFont val="Times New Roman"/>
        <family val="1"/>
      </rPr>
      <t xml:space="preserve">
Cột 4. Hệ số độ khó: </t>
    </r>
    <r>
      <rPr>
        <sz val="14"/>
        <color rgb="FF000000"/>
        <rFont val="Times New Roman"/>
        <family val="1"/>
      </rPr>
      <t>Hệ số độ khó của công việc được xác định tại Danh mục Sản phẩm chuẩn</t>
    </r>
    <r>
      <rPr>
        <b/>
        <sz val="14"/>
        <color rgb="FF000000"/>
        <rFont val="Times New Roman"/>
        <family val="1"/>
      </rPr>
      <t xml:space="preserve">
Cột 5. Điểm quy đổi tối đa =</t>
    </r>
    <r>
      <rPr>
        <sz val="14"/>
        <color rgb="FF000000"/>
        <rFont val="Times New Roman"/>
        <family val="1"/>
      </rPr>
      <t xml:space="preserve"> Điểm chuẩn (cột 3) × Hệ số độ khó (cột 4);
</t>
    </r>
    <r>
      <rPr>
        <b/>
        <sz val="14"/>
        <color rgb="FF000000"/>
        <rFont val="Times New Roman"/>
        <family val="1"/>
      </rPr>
      <t xml:space="preserve">Cột 6. Tiến độ %: </t>
    </r>
    <r>
      <rPr>
        <sz val="14"/>
        <color rgb="FF000000"/>
        <rFont val="Times New Roman"/>
        <family val="1"/>
      </rPr>
      <t>tỷ lệ điểm căn cứ theo thời hạn hoàn thành
+ Hoàn thành đúng hoặc trước hạn: 100%;
+ Hoàn thành chậm 1–  3 ngày làm việc: 80%;
+ Hoàn thành chậm 4 – 5  ngày làm việc: 60%;
+ Hoàn thành chậm trên 5 ngày làm việc: 0%.</t>
    </r>
    <r>
      <rPr>
        <b/>
        <sz val="14"/>
        <color rgb="FF000000"/>
        <rFont val="Times New Roman"/>
        <family val="1"/>
      </rPr>
      <t xml:space="preserve">
Cột 7. Kết quả %: </t>
    </r>
    <r>
      <rPr>
        <sz val="14"/>
        <color rgb="FF000000"/>
        <rFont val="Times New Roman"/>
        <family val="1"/>
      </rPr>
      <t>tỷ lệ điểm căn cứ chất lượng sản phẩm
+ Đạt đầy đủ yêu cầu: 100%;
+ Đạt yêu cầu, chỉnh sửa nhỏ: 80%;
+ Hoàn thành cơ bản: 60%;
+ Không đạt yêu cầu: 0%.</t>
    </r>
    <r>
      <rPr>
        <b/>
        <sz val="14"/>
        <color rgb="FF000000"/>
        <rFont val="Times New Roman"/>
        <family val="1"/>
      </rPr>
      <t xml:space="preserve">
Cột 8. Điểm thực hiện = </t>
    </r>
    <r>
      <rPr>
        <sz val="14"/>
        <color rgb="FF000000"/>
        <rFont val="Times New Roman"/>
        <family val="1"/>
      </rPr>
      <t>Điểm chuẩn (cột 3)*{30%*Tiến độ % (cột 6) + 70%*Kết quả % (cột 7)}</t>
    </r>
    <r>
      <rPr>
        <b/>
        <sz val="14"/>
        <color rgb="FF000000"/>
        <rFont val="Times New Roman"/>
        <family val="1"/>
      </rPr>
      <t xml:space="preserve">
Cột 9. Điểm quy đổi thực tế </t>
    </r>
    <r>
      <rPr>
        <sz val="14"/>
        <color rgb="FF000000"/>
        <rFont val="Times New Roman"/>
        <family val="1"/>
      </rPr>
      <t xml:space="preserve">= Điểm thực hiện (cột 8) × Hệ số độ khó (cột 4)
</t>
    </r>
    <r>
      <rPr>
        <b/>
        <sz val="14"/>
        <color rgb="FF000000"/>
        <rFont val="Times New Roman"/>
        <family val="1"/>
      </rPr>
      <t>Giá trị A</t>
    </r>
    <r>
      <rPr>
        <sz val="14"/>
        <color rgb="FF000000"/>
        <rFont val="Times New Roman"/>
        <family val="1"/>
      </rPr>
      <t xml:space="preserve">: Tổng Điểm quy đổi tối đa (cột 5); </t>
    </r>
    <r>
      <rPr>
        <b/>
        <sz val="14"/>
        <color rgb="FF000000"/>
        <rFont val="Times New Roman"/>
        <family val="1"/>
      </rPr>
      <t>Giá trị B</t>
    </r>
    <r>
      <rPr>
        <sz val="14"/>
        <color rgb="FF000000"/>
        <rFont val="Times New Roman"/>
        <family val="1"/>
      </rPr>
      <t xml:space="preserve">: Tổng Điểm quy đổi thực tế (cột 9)
</t>
    </r>
    <r>
      <rPr>
        <b/>
        <sz val="14"/>
        <color rgb="FF000000"/>
        <rFont val="Times New Roman"/>
        <family val="1"/>
      </rPr>
      <t>KPI</t>
    </r>
    <r>
      <rPr>
        <sz val="14"/>
        <color rgb="FF000000"/>
        <rFont val="Times New Roman"/>
        <family val="1"/>
      </rPr>
      <t>= (B/A)*70 điểm (Nếu B&gt;A thì KPI đạt tối đa 70 điểm).</t>
    </r>
  </si>
  <si>
    <r>
      <rPr>
        <b/>
        <sz val="13"/>
        <color rgb="FF000000"/>
        <rFont val="Times New Roman"/>
        <family val="1"/>
      </rPr>
      <t xml:space="preserve">GỢI Ý KHUNG CHẤM ĐIỂM ĐÁNH GIÁ ĐỐI VỚI CÁN BỘ LÃNH ĐẠO, QUẢN LÝ KHỐI ĐẢNG, ĐOÀN THỂ
TRÊN CƠ SỞ CỤ THỂ HOÁ THEO MẪU 5,HƯỚNG DẪN SỐ 43-HD/BTCTW CỦA BAN TỔ CHỨC TRUNG ƯƠNG 
</t>
    </r>
    <r>
      <rPr>
        <i/>
        <sz val="13"/>
        <color rgb="FF000000"/>
        <rFont val="Times New Roman"/>
        <family val="1"/>
      </rPr>
      <t>(kèm theo Hướng dẫn số     -HD/BTCTU, ngày     tháng 6 năm 2026)</t>
    </r>
  </si>
  <si>
    <t>Mẫu 01</t>
  </si>
  <si>
    <r>
      <rPr>
        <sz val="12"/>
        <color rgb="FF000000"/>
        <rFont val="Times New Roman"/>
        <family val="1"/>
      </rPr>
      <t>THÀNH ỦY THÀNH PHỐ HỒ CHÍ MINH</t>
    </r>
    <r>
      <rPr>
        <b/>
        <sz val="12"/>
        <color rgb="FF000000"/>
        <rFont val="Times New Roman"/>
        <family val="1"/>
      </rPr>
      <t xml:space="preserve">
BAN TỔ CHỨC
*</t>
    </r>
  </si>
  <si>
    <t>…..., ngày…… tháng… … năm……</t>
  </si>
  <si>
    <r>
      <rPr>
        <b/>
        <sz val="12"/>
        <color rgb="FF000000"/>
        <rFont val="Times New Roman"/>
        <family val="1"/>
      </rPr>
      <t xml:space="preserve">BẢN TỰ ĐÁNH GIÁ, XẾP LOẠI CỦA CÁ NHÂN 
</t>
    </r>
    <r>
      <rPr>
        <b/>
        <i/>
        <sz val="12"/>
        <color rgb="FFFF0000"/>
        <rFont val="Times New Roman"/>
        <family val="1"/>
      </rPr>
      <t>(Lấy ví dụ mô phỏng chức danh Phó trưởng Ban Tổ chức Thành ủy)</t>
    </r>
  </si>
  <si>
    <t>Quý II, Năm2026</t>
  </si>
  <si>
    <t>Họ và tên: Nguyễn Văn A                                                                      Ngày sinh: …..................</t>
  </si>
  <si>
    <t>Chức vụ Đảng: Thành ủy viên</t>
  </si>
  <si>
    <t>Chức vụ chính quyền: Phó trưởng ban …..................</t>
  </si>
  <si>
    <t>Chức vụ đoàn thể: Không có</t>
  </si>
  <si>
    <t>Đơn vị công tác: …...............</t>
  </si>
  <si>
    <t xml:space="preserve">I. Tự đánh giá kết quả thực hiện nhiệm vụ </t>
  </si>
  <si>
    <t>Trên cơ sở nhiệm vụ được giao, cá nhân tự đánh giá về kết quả thực hiện nhiệm vụ theo quý như sau:</t>
  </si>
  <si>
    <t>NHÓM TIÊU CHÍ CHUNG (30 ĐIỂM) - Các tiêu chí thực hiện theo Quy định sô 366-QĐ/TW của Bộ Chính trị</t>
  </si>
  <si>
    <t>Tiêu chí / Nội dung</t>
  </si>
  <si>
    <t>Đảm bảo 
(Đánh dấu x)</t>
  </si>
  <si>
    <t>Không 
đảm bảo 
(Đánh dấu x)</t>
  </si>
  <si>
    <t>Điểm tối đa</t>
  </si>
  <si>
    <t>Điểm đạt (Chấm tối đa nếu đảm bảo; Chấm 0 điểm nếu không đảm bảo)</t>
  </si>
  <si>
    <t>Ghi chú</t>
  </si>
  <si>
    <t>Về phẩm chất chính trị, đạo đức, lối sống, thực hiện trách nhiệm nêu gương</t>
  </si>
  <si>
    <t>1.1</t>
  </si>
  <si>
    <t>Tuyệt đối trung thành với Đảng, Tổ quốc và Nhân dân; kiên định chủ nghĩa Mác - Lênin, tư tưởng Hồ Chí Minh, mục tiêu độc lập dân tộc và chủ nghĩa xã hội. Có lập trường, quan điểm, bản lĩnh chính trị vững vàng; kiên quyết bảo vệ nền tảng tư tưởng, Cương lĩnh chính trị, đường lối của Đảng, Hiến pháp, pháp luật của Nhà nước; đấu tranh phản bác các quan điểm sai trái, thù địch, các biểu hiện suy thoái, "tự diễn biến", "tự chuyển hoá".</t>
  </si>
  <si>
    <t>1.2</t>
  </si>
  <si>
    <t>Có tinh thần yêu nước sâu sắc, tận tuỵ phục vụ Nhân dân, sâu sát cơ sở, luôn hành động vì lợi ích của Nhân dân. Đặt lợi ích của Đảng, quốc gia - dân tộc, Nhân dân, tập thể lên trên lợi ích cá nhân, sẵn sàng hy sinh vì sự nghiệp cách mạng của Đảng, vì độc lập, tự do của Tổ quốc, vì hạnh phúc của Nhân dân.</t>
  </si>
  <si>
    <t>1.3</t>
  </si>
  <si>
    <t>Chấp hành nghiêm chủ trương, đường lối, nghị quyết, chỉ thị, quy định, nguyên tắc tổ chức, kỷ luật của Đảng, nhất là nguyên tắc tập trung dân chủ, tự phê bình và phê bình; chấp hành nghiêm pháp luật của Nhà nước và quy định của cơ quan, đơn vị. Tuyệt đối chấp hành sự phân công của tổ chức, yên tâm công tác và hoàn thành tốt mọi nhiệm vụ được giao.</t>
  </si>
  <si>
    <t>1.4</t>
  </si>
  <si>
    <t>Có tinh thần tự giác, trách nhiệm cao trong nghiên cứu, học tập chủ nghĩa Mác - Lênin, tư tưởng Hồ Chí Minh, các nghị quyết, chỉ thị của Đảng và các chương trình bồi dưỡng, cập nhật kiến thức mới nhằm nâng cao trình độ về mọi mặt, đáp ứng yêu cầu, nhiệm vụ.</t>
  </si>
  <si>
    <t>1.5</t>
  </si>
  <si>
    <t>Có phẩm chất đạo đức, lối sống trong sáng, trung thực, khiêm tốn, chân thành, giản dị; cần, kiệm, liêm, chính, chí công vô tư; chấp hành nghiêm quy định về chuẩn mực đạo đức cách mạng của cán bộ, đảng viên trong giai đoạn mới, trách nhiệm nêu gương; không vi phạm Quy định về những điều đảng viên không được làm. Không né tránh công việc, chạy theo thành tích; không vi phạm đạo đức, lối sống đến mức bị xử lý kỷ luật.</t>
  </si>
  <si>
    <t>1.6</t>
  </si>
  <si>
    <t>Không tham vọng quyền lực; không chạy chức, chạy quyền; không tham nhũng, lãng phí, cơ hội, vụ lợi, cục bộ, lợi ích nhóm; không để gia đình, người thân và người khác lợi dụng chức vụ, vị trí công tác để trục lợi. Không có biểu hiện suy thoái về tư tưởng chính trị, đạo đức, lối sống, những biểu hiện "tự diễn biến", "tự chuyển hoá" trong nội bộ. Kiên quyết đấu tranh chống quan liêu, cửa quyền, tham nhũng, xa hoa, lãng phí, tiêu cực, chủ nghĩa cá nhân, lối sống cơ hội, thực dụng, bè phái, lợi ích nhóm, nói không đi đôi với làm.</t>
  </si>
  <si>
    <t>1.7</t>
  </si>
  <si>
    <t>Có uy tín cao, tiêu biểu về phẩm chất đạo đức và phong cách công tác; là trung tâm đoàn kết, thương yêu đồng chí, đồng nghiệp.</t>
  </si>
  <si>
    <t>1.8</t>
  </si>
  <si>
    <t>Có tinh thần chủ động, đổi mới sáng tạo; phấn đấu vì mục tiêu phát triển của cơ quan, đơn vị, đóng góp vào mục tiêu chung của đất nước.</t>
  </si>
  <si>
    <t>1.9</t>
  </si>
  <si>
    <t>Thực hiện việc kê khai và công khai tài sản, thu nhập theo quy định. Báo cáo đầy đủ, trung thực, cung cấp thông tin chính xác, khách quan về những nội dung liên quan đến việc thực hiện chức trách, nhiệm vụ được giao và hoạt động của cơ quan, tổ chức, đơn vị với cấp trên khi được yêu cầu.</t>
  </si>
  <si>
    <t>Tư duy đổi mới, chiến lược, khát vọng cống hiến, dám nghĩ, dám làm</t>
  </si>
  <si>
    <t>2.1</t>
  </si>
  <si>
    <t>Có tư duy đổi mới, tầm nhìn chiến lược, khả năng lãnh đạo, chỉ đạo thích ứng với sự phát triển của thời đại và xu thế toàn cầu hoá; phương pháp làm việc khoa học, nhạy bén chính trị; có năng lực cụ thể hoá trong lãnh đạo, chỉ đạo cơ quan, đơn vị thực hiện và hoàn thành tốt chức năng, nhiệm vụ được giao.</t>
  </si>
  <si>
    <t>2.2</t>
  </si>
  <si>
    <t>Luôn bám sát thực tiễn, có nhiều cách làm hay, sáng tạo, đạt hiệu quả cao trong lãnh đạo, chỉ đạo, tổ chức thực hiện nhiệm vụ; xây dựng cấp uỷ, tổ chức đảng trong sạch, vững mạnh, cơ quan, đơn vị vững mạnh toàn diện.</t>
  </si>
  <si>
    <t>2.3</t>
  </si>
  <si>
    <t>Nói đi đôi với làm, dám nghĩ, dám làm, dám chịu trách nhiệm, dám đột phá vì lợi ích chung. Có khả năng phân tích, dự báo tình hình, phát hiện những khó khăn, bất cập, thời cơ, thuận lợi trong thực tiễn; đề xuất hoặc quyết định những giải pháp phù hợp, kịp thời, hiệu quả.</t>
  </si>
  <si>
    <t>2.4</t>
  </si>
  <si>
    <t>Có khát vọng phấn đấu, cống hiến; có khả năng quy tụ và phát huy được sức mạnh của tập thể, cá nhân trong cơ quan, đơn vị và các cơ quan, đơn vị có liên quan.</t>
  </si>
  <si>
    <t>3. Về tự phê bình và phê bình, tự soi, tự sửa, khắc phục hạn chế, khuyết điểm</t>
  </si>
  <si>
    <t>3.1</t>
  </si>
  <si>
    <t>Chủ động, nghiêm túc thực hiện tự phê bình và phê bình, có tinh thần cầu thị và tiếp thu phản biện, góp ý.</t>
  </si>
  <si>
    <t>3.2</t>
  </si>
  <si>
    <t>Có kế hoạch rõ ràng và quyết liệt trong khắc phục hạn chế, khuyết điểm đã được chỉ ra.</t>
  </si>
  <si>
    <t>3.3</t>
  </si>
  <si>
    <t>Kết quả khắc phục hoàn thành từ ≥ 80% nội dung, có tiến bộ rõ, được tổ chức đánh giá tốt; không để tái diễn tồn tại.</t>
  </si>
  <si>
    <t>3.4</t>
  </si>
  <si>
    <t>Tự soi, tự sửa trên tinh thần trách nhiệm chính trị cao, không né tránh, không đổ lỗi.</t>
  </si>
  <si>
    <t>Tổng (A) =</t>
  </si>
  <si>
    <t>B</t>
  </si>
  <si>
    <t>KẾT QUẢ THỰC HIỆN NHIỆM VỤ ĐƯỢC GIAO (70 ĐIỂM)</t>
  </si>
  <si>
    <r>
      <rPr>
        <b/>
        <sz val="12"/>
        <color rgb="FF000000"/>
        <rFont val="Times New Roman"/>
        <family val="1"/>
      </rPr>
      <t xml:space="preserve">Điểm đạt được
</t>
    </r>
    <r>
      <rPr>
        <i/>
        <sz val="12"/>
        <color rgb="FF000000"/>
        <rFont val="Times New Roman"/>
        <family val="1"/>
      </rPr>
      <t>= điểm KPI đã tính tại Bảng tính điểm</t>
    </r>
  </si>
  <si>
    <t>Mục tiêu, nhiệm vụ đề ra</t>
  </si>
  <si>
    <t xml:space="preserve">Kết quả sản phẩm thực tế </t>
  </si>
  <si>
    <t xml:space="preserve">Điểm KPI (%)  </t>
  </si>
  <si>
    <t>Điểm đạt 
(= Điểm KPI x Điểm tối đa)</t>
  </si>
  <si>
    <r>
      <rPr>
        <b/>
        <sz val="11"/>
        <color rgb="FF000000"/>
        <rFont val="Times New Roman"/>
        <family val="1"/>
      </rPr>
      <t xml:space="preserve">Trục (1) - THỰC HIỆN MỤC TIÊU PHÁT TRIỂN KINH TẾ - XÃ HỘI VÀ NHIỆM VỤ CHÍNH TRỊ ĐƯỢC GIAO </t>
    </r>
    <r>
      <rPr>
        <b/>
        <sz val="11"/>
        <color rgb="FF0000CC"/>
        <rFont val="Times New Roman"/>
        <family val="1"/>
      </rPr>
      <t>(10 ĐIỂM)</t>
    </r>
    <r>
      <rPr>
        <sz val="11"/>
        <color rgb="FF000000"/>
        <rFont val="Times New Roman"/>
        <family val="1"/>
      </rPr>
      <t xml:space="preserve">
- </t>
    </r>
    <r>
      <rPr>
        <sz val="11"/>
        <color rgb="FF0000CC"/>
        <rFont val="Times New Roman"/>
        <family val="1"/>
      </rPr>
      <t xml:space="preserve">Lãnh đạo, chỉ đạo, điều hành, tổ chức thực hiện hiệu quả nghị quyết, chỉ thị, kết luận, quy định, hướng dẫn của Trung ương và cấp trên.
- Chủ động xây dựng và lãnh đạo, chỉ đạo thực hiện có hiệu quả kế hoạch, chương trình công tác, đề án, quy chế, quy định thuộc lĩnh vực phụ trách gắn với kế hoạch, chương trình công tác và tình hình thực tiễn của tổ chức, cơ quan, đơn vị.
- Phân tích, tổng hợp, đánh giá và tham mưu cấp uỷ ban hành các văn bản theo lĩnh vực công tác đạt yêu cầu về nội dung, hình thức và tiến độ; 
</t>
    </r>
    <r>
      <rPr>
        <sz val="11"/>
        <color rgb="FF000000"/>
        <rFont val="Times New Roman"/>
        <family val="1"/>
      </rPr>
      <t>- Các nội dung khác (nếu có)</t>
    </r>
  </si>
  <si>
    <r>
      <rPr>
        <b/>
        <sz val="11"/>
        <color rgb="FF000000"/>
        <rFont val="Times New Roman"/>
        <family val="1"/>
      </rPr>
      <t xml:space="preserve">Trục (2) - HOÀN THIỆN THỂ CHẾ, ĐẨY MẠNH PHÂN CẤP, PHÂN QUYỀN GẮN VỚI KIỂM TRA, GIÁM SÁT </t>
    </r>
    <r>
      <rPr>
        <b/>
        <sz val="11"/>
        <color rgb="FF0000CC"/>
        <rFont val="Times New Roman"/>
        <family val="1"/>
      </rPr>
      <t>(15 ĐIỂM)</t>
    </r>
    <r>
      <rPr>
        <sz val="11"/>
        <color rgb="FF000000"/>
        <rFont val="Times New Roman"/>
        <family val="1"/>
      </rPr>
      <t xml:space="preserve">
- Ban hành kế hoạch, chương trình hành động thực hiện các nghị quyết, chỉ thị, kết luận theo phân cấp
- Triển khai, quán triệt chính sách phân cấp
- Giám sát thực hiện phân quyền
- </t>
    </r>
    <r>
      <rPr>
        <sz val="11"/>
        <color rgb="FF0000CC"/>
        <rFont val="Times New Roman"/>
        <family val="1"/>
      </rPr>
      <t xml:space="preserve">Hướng dẫn và tổ chức kiểm tra, giám sát việc thực hiện nhiệm vụ theo lĩnh vực được phân công, góp phần ngăn ngừa khuyết điểm, vi phạm, kịp thời phát hiện và xử lý các vấn đề phát sinh (nếu có);
- Xử lý điểm nghẽn thể chế, cải cách hành chính: Có sáng kiến/giải pháp cụ thể được cấp có thẩm quyền ghi nhận; 
</t>
    </r>
    <r>
      <rPr>
        <sz val="11"/>
        <color rgb="FF000000"/>
        <rFont val="Times New Roman"/>
        <family val="1"/>
      </rPr>
      <t>- Tỉ lệ hồ sơ giải quyết đúng hạn;
- Giải quyết 100% đơn, thư thuộc trách nhiệm, không để vượt cấp, phát sinh kéo dài;
- Nội dung khác (nếu có)</t>
    </r>
  </si>
  <si>
    <r>
      <rPr>
        <b/>
        <sz val="11"/>
        <color rgb="FF0000CC"/>
        <rFont val="Times New Roman"/>
        <family val="1"/>
      </rPr>
      <t>Trục (3) - THÚC ĐẨY PHÁT TRIỂN KHOA HỌC, CÔNG NGHỆ, ĐỔI MỚI SÁNG TẠO VÀ CHUYỂN ĐỔI SỐ (10 ĐIỂM)</t>
    </r>
    <r>
      <rPr>
        <sz val="11"/>
        <color rgb="FF0000CC"/>
        <rFont val="Times New Roman"/>
        <family val="1"/>
      </rPr>
      <t xml:space="preserve">
- Tổ chức thực hiện hiệu quả Nghị quyết 57-NQ/TW 
ngày 22/12/2024 của Bộ Chính trị;
- Triển khai chương trình, đề án chuyển đổi số;
- Sử dụng thành thạo hệ thống quản lý điều hành văn bản và các phần mềm khác trong công tác đảng;
- Ứng dụng khoa học công nghệ, đổi mới sáng tạo trong quản lý hành chính tại cơ quan, đơn vị
- Các nội dung khác (nếu có)</t>
    </r>
  </si>
  <si>
    <r>
      <rPr>
        <b/>
        <sz val="11"/>
        <color rgb="FF000000"/>
        <rFont val="Times New Roman"/>
        <family val="1"/>
      </rPr>
      <t xml:space="preserve">Trục (4) - XÂY DỰNG ĐẢNG VÀ HỆ THỐNG CHÍNH TRỊ TRONG SẠCH, VỮNG MẠNH; GIỮ GÌN ĐOÀN KẾT, THỐNG NHẤT NỘI BỘ; PHÒNG, CHỐNG THAM NHŨNG, LÃNG PHÍ, TIÊU CỰC </t>
    </r>
    <r>
      <rPr>
        <b/>
        <sz val="11"/>
        <color rgb="FF0000CC"/>
        <rFont val="Times New Roman"/>
        <family val="1"/>
      </rPr>
      <t>(20 ĐIỂM)</t>
    </r>
    <r>
      <rPr>
        <sz val="11"/>
        <color rgb="FF000000"/>
        <rFont val="Times New Roman"/>
        <family val="1"/>
      </rPr>
      <t xml:space="preserve">
- Xây dựng, củng cố TCCSĐ (thành lập mới, sắp xếp, kiện toàn các tổ chức đảng)
- Tỷ lệ kết nạp đảng viên mới
- Triển khai sinh hoạt, quán triệt định kỳ
- Việc sắp xếp, tinh gọn tổ chức bộ máy và vận hành mô hình chính quyền 02 cấp hoạt động hiệu năng, hiệu lực, hiệu quả;
</t>
    </r>
    <r>
      <rPr>
        <sz val="11"/>
        <color rgb="FF0000CC"/>
        <rFont val="Times New Roman"/>
        <family val="1"/>
      </rPr>
      <t xml:space="preserve">- Thẩm định, thẩm tra các nghị quyết, chính sách, giải pháp của cấp ủy về công tác xây dựng Đảng, xây dựng hệ thống chính trị và các nhiệm vụ chính trị được giao bảo đảm chất lượng, đúng quy định, không để xảy ra sai sót;
- Chủ động phát hiện, đề xuất các giải pháp đổi mới, tổng kết thực tiễn phù hợp với đường lối, chủ trương của Đảng và tình hình địa phương, tổ chức, cơ quan, đơn vị.
- Phối hợp chặt chẽ, hài hoà, hiệu quả mối quan hệ công  tác giữa các ban đảng, cơ quan nhà nước, Mặt trận Tổ quốc và các tổ chức chính trị - xã hội; giữa Trung ương và địa phương. Phối hợp giữa các đơn vị, địa bàn được giao phụ trách bảo đảm thống nhất, hiệu quả. 
- Tham gia xây dựng đoàn kết nội bộ của cơ quan, vụ, đơn vị phụ trách vững mạnh, không để xảy ra mất đoàn kết.
</t>
    </r>
    <r>
      <rPr>
        <sz val="11"/>
        <color rgb="FF000000"/>
        <rFont val="Times New Roman"/>
        <family val="1"/>
      </rPr>
      <t>- Các nội dung khác (nếu có)</t>
    </r>
  </si>
  <si>
    <r>
      <rPr>
        <b/>
        <sz val="11"/>
        <color rgb="FF000000"/>
        <rFont val="Times New Roman"/>
        <family val="1"/>
      </rPr>
      <t>Trục (5) - PHÁT TRIỂN VĂN HÓA, CON NGƯỜI, BẢO ĐẢM AN SINH XÃ HỘI, NÂNG CAO ĐỜI SỐNG NHÂN DÂN (10 ĐIỂM)</t>
    </r>
    <r>
      <rPr>
        <sz val="11"/>
        <color rgb="FF000000"/>
        <rFont val="Times New Roman"/>
        <family val="1"/>
      </rPr>
      <t xml:space="preserve">
</t>
    </r>
    <r>
      <rPr>
        <sz val="11"/>
        <color rgb="FF0000CC"/>
        <rFont val="Times New Roman"/>
        <family val="1"/>
      </rPr>
      <t xml:space="preserve">- Chỉ đạo thực hiện chế độ, chính sách đối với cán bộ thuộc phạm vi quản lý, không để xảy ra sai sót, phản ánh, khiếu nại. 
</t>
    </r>
    <r>
      <rPr>
        <sz val="11"/>
        <color rgb="FF000000"/>
        <rFont val="Times New Roman"/>
        <family val="1"/>
      </rPr>
      <t>- Thực hiện chính sách đối với người có công, đối tượng bảo trợ xã hội, giảm nghèo bền vững
- Xây dựng nông thôn mới,
- Bảo tồn, phát huy giá trị di sản, bản sắc văn hóa dân tộc
- Các nội dung khác (nếu có)</t>
    </r>
  </si>
  <si>
    <r>
      <rPr>
        <b/>
        <sz val="11"/>
        <color rgb="FF000000"/>
        <rFont val="Times New Roman"/>
        <family val="1"/>
      </rPr>
      <t>Trục (6) - CỦNG CỐ QUỐC PHÒNG, AN NINH, GIỮ VỮNG ỔN ĐỊNH CHÍNH TRỊ - XÃ HỘI, NÂNG CAO HIỆU QUẢ ĐỐI NGOẠI VÀ HỘI NHẬP QUỐC TẾ</t>
    </r>
    <r>
      <rPr>
        <b/>
        <sz val="11"/>
        <color rgb="FF0000CC"/>
        <rFont val="Times New Roman"/>
        <family val="1"/>
      </rPr>
      <t xml:space="preserve"> (05 ĐIỂM)</t>
    </r>
    <r>
      <rPr>
        <sz val="11"/>
        <color rgb="FF000000"/>
        <rFont val="Times New Roman"/>
        <family val="1"/>
      </rPr>
      <t xml:space="preserve">
- </t>
    </r>
    <r>
      <rPr>
        <sz val="11"/>
        <color rgb="FF0000CC"/>
        <rFont val="Times New Roman"/>
        <family val="1"/>
      </rPr>
      <t xml:space="preserve">Khả năng điều phối, xử lý hiệu quả các tình huống phức tạp, điểm nóng.
</t>
    </r>
    <r>
      <rPr>
        <sz val="11"/>
        <color rgb="FF000000"/>
        <rFont val="Times New Roman"/>
        <family val="1"/>
      </rPr>
      <t>- Giữ vững an ninh chính trị, trật tự an toàn xã hội; không để hình thành "điểm nóng", bị động, bất ngờ
- Bảo đảm an ninh biên giới, an ninh kinh tế, an ninh mạng, an ninh tôn giáo, dân tộc
- Các nội dung khác (nếu có)</t>
    </r>
  </si>
  <si>
    <r>
      <rPr>
        <b/>
        <sz val="12"/>
        <color rgb="FF000000"/>
        <rFont val="Times New Roman"/>
        <family val="1"/>
      </rPr>
      <t>TỔNG (B) =</t>
    </r>
    <r>
      <rPr>
        <i/>
        <sz val="12"/>
        <color rgb="FF000000"/>
        <rFont val="Times New Roman"/>
        <family val="1"/>
      </rPr>
      <t xml:space="preserve"> Điểm KPI đã tính tại Bảng tính điểm</t>
    </r>
  </si>
  <si>
    <t xml:space="preserve">TỔNG (A+ B) = </t>
  </si>
  <si>
    <t>II. Tự đề xuất xếp loại mức chất lượng:</t>
  </si>
  <si>
    <t>(Theo 04 mức: - Hoàn thành xuất sắc nhiệm vụ, 2- Hoàn thành tốt nhiệm vụ, 3- Hoàn thành nhiệm vụ và 4- Không hoàn thành nhiệm vụ)
Cá nhân tự đề xuất mức xếp loại căn cứ theo nhiệm vụ được giao, nếu có trên 30%  nhiệm vụ vượt tiến độ mới được đề xuất "Hoàn thành xuất sắc nhiệm vụ"</t>
  </si>
  <si>
    <t>CÁ NHÂN TỰ ĐÁNH GIÁ</t>
  </si>
  <si>
    <t>Thái Thị Bích Liên</t>
  </si>
  <si>
    <t>III. Nhận xét, đánh giá của cấp có thẩm quyền</t>
  </si>
  <si>
    <t>- Chấm điểm: ….........................…................................................................................................................................................................................…....................................................</t>
  </si>
  <si>
    <t>- Đề xuất xếp loại: …................................................................................................................................................................................…........................................................................</t>
  </si>
  <si>
    <t>- Mức độ đáp ứng đối với các mục tiêu, nhiệm vụ then chốt: ….........................................................................................................................................................................................</t>
  </si>
  <si>
    <t>XÁC NHẬN CỦA BAN TỔ CHỨC THÀNH ỦY</t>
  </si>
  <si>
    <t>Tổng số nhiệm vụ thực hiện trong quý</t>
  </si>
  <si>
    <t>Tổng số nhiệm vụ vượt tiến độ/chất lượng</t>
  </si>
  <si>
    <t>TRƯỞNG PHÒNG
(ký, đóng dấu)</t>
  </si>
  <si>
    <t>Điểm 
chuẩn</t>
  </si>
  <si>
    <t>Điểm
 quy đổi 
thực tế</t>
  </si>
  <si>
    <r>
      <rPr>
        <b/>
        <sz val="12"/>
        <rFont val="Times New Roman"/>
        <family val="1"/>
      </rPr>
      <t xml:space="preserve">(3)
</t>
    </r>
    <r>
      <rPr>
        <sz val="12"/>
        <rFont val="Times New Roman"/>
        <family val="1"/>
      </rPr>
      <t xml:space="preserve">= </t>
    </r>
    <r>
      <rPr>
        <i/>
        <sz val="12"/>
        <rFont val="Times New Roman"/>
        <family val="1"/>
      </rPr>
      <t>Điểm chuẩn của công việc được xác định tại Danh mục Sản phẩm chuẩn</t>
    </r>
  </si>
  <si>
    <r>
      <rPr>
        <b/>
        <sz val="12"/>
        <rFont val="Times New Roman"/>
        <family val="1"/>
      </rPr>
      <t xml:space="preserve">(4)
</t>
    </r>
    <r>
      <rPr>
        <sz val="12"/>
        <rFont val="Times New Roman"/>
        <family val="1"/>
      </rPr>
      <t xml:space="preserve">= </t>
    </r>
    <r>
      <rPr>
        <i/>
        <sz val="12"/>
        <rFont val="Times New Roman"/>
        <family val="1"/>
      </rPr>
      <t>HSĐK của công việc được xác định tại Danh mục Sản phẩm chuẩn</t>
    </r>
  </si>
  <si>
    <r>
      <rPr>
        <b/>
        <sz val="12"/>
        <rFont val="Times New Roman"/>
        <family val="1"/>
      </rPr>
      <t xml:space="preserve">(5) 
</t>
    </r>
    <r>
      <rPr>
        <sz val="12"/>
        <rFont val="Times New Roman"/>
        <family val="1"/>
      </rPr>
      <t>= (3) *(4)</t>
    </r>
  </si>
  <si>
    <r>
      <rPr>
        <b/>
        <sz val="12"/>
        <rFont val="Times New Roman"/>
        <family val="1"/>
      </rPr>
      <t xml:space="preserve">(8)
</t>
    </r>
    <r>
      <rPr>
        <sz val="12"/>
        <rFont val="Times New Roman"/>
        <family val="1"/>
      </rPr>
      <t>= (3) * {30% (6)+70%(7)}</t>
    </r>
  </si>
  <si>
    <r>
      <rPr>
        <b/>
        <sz val="12"/>
        <rFont val="Times New Roman"/>
        <family val="1"/>
      </rPr>
      <t xml:space="preserve">(9)
</t>
    </r>
    <r>
      <rPr>
        <sz val="12"/>
        <rFont val="Times New Roman"/>
        <family val="1"/>
      </rPr>
      <t>= (8)*(4)</t>
    </r>
  </si>
  <si>
    <r>
      <rPr>
        <b/>
        <i/>
        <sz val="12"/>
        <rFont val="Times New Roman"/>
        <family val="1"/>
      </rPr>
      <t xml:space="preserve">KPI % (trục 4) = B/A*70 điểm </t>
    </r>
    <r>
      <rPr>
        <i/>
        <sz val="12"/>
        <rFont val="Times New Roman"/>
        <family val="1"/>
      </rPr>
      <t>(nếu B&gt;A thì KPI là 70)</t>
    </r>
    <r>
      <rPr>
        <b/>
        <i/>
        <sz val="12"/>
        <rFont val="Times New Roman"/>
        <family val="1"/>
      </rPr>
      <t xml:space="preserve"> </t>
    </r>
  </si>
  <si>
    <t>TỈNH UỶ/THÀNH UỶ/ĐẢNG UỶ/
CƠ QUAN, ĐƠN VỊ…
*</t>
  </si>
  <si>
    <t>A</t>
  </si>
  <si>
    <t>(Ký, ghi rõ họ tên)</t>
  </si>
  <si>
    <r>
      <rPr>
        <b/>
        <sz val="16"/>
        <rFont val="Times New Roman"/>
        <family val="1"/>
      </rPr>
      <t xml:space="preserve">BẢNG TÍNH ĐIỂM KPI 
</t>
    </r>
    <r>
      <rPr>
        <b/>
        <i/>
        <sz val="16"/>
        <color rgb="FFFF0000"/>
        <rFont val="Times New Roman"/>
        <family val="1"/>
      </rPr>
      <t>(Cách 2: chia nhỏ 6 trục, tính KPI trên điểm từng trục tại phần II, Bản tự đánh giá cá nhân
KPI từng sản phẩm =Điểm chuẩn*(30% Tiến độ %+70% Chất lượng%))</t>
    </r>
  </si>
  <si>
    <t>Điểm
 quy đổi</t>
  </si>
  <si>
    <r>
      <rPr>
        <b/>
        <sz val="12"/>
        <rFont val="Times New Roman"/>
        <family val="1"/>
      </rPr>
      <t xml:space="preserve">(3)
</t>
    </r>
    <r>
      <rPr>
        <sz val="12"/>
        <rFont val="Times New Roman"/>
        <family val="1"/>
      </rPr>
      <t xml:space="preserve">= </t>
    </r>
    <r>
      <rPr>
        <i/>
        <sz val="12"/>
        <rFont val="Times New Roman"/>
        <family val="1"/>
      </rPr>
      <t>Điểm chuẩn của công việc được xác định tại Danh mục Sản phẩm chuẩn</t>
    </r>
  </si>
  <si>
    <r>
      <rPr>
        <b/>
        <sz val="12"/>
        <rFont val="Times New Roman"/>
        <family val="1"/>
      </rPr>
      <t xml:space="preserve">(4)
</t>
    </r>
    <r>
      <rPr>
        <sz val="12"/>
        <rFont val="Times New Roman"/>
        <family val="1"/>
      </rPr>
      <t xml:space="preserve">= </t>
    </r>
    <r>
      <rPr>
        <i/>
        <sz val="12"/>
        <rFont val="Times New Roman"/>
        <family val="1"/>
      </rPr>
      <t>HSĐK của công việc được xác định tại Danh mục Sản phẩm chuẩn</t>
    </r>
  </si>
  <si>
    <r>
      <rPr>
        <b/>
        <sz val="12"/>
        <rFont val="Times New Roman"/>
        <family val="1"/>
      </rPr>
      <t xml:space="preserve">(5) </t>
    </r>
    <r>
      <rPr>
        <i/>
        <sz val="12"/>
        <rFont val="Times New Roman"/>
        <family val="1"/>
      </rPr>
      <t>Căn cứ theo thời hạn hoàn thành
+ Hoàn thành đúng hoặc trước hạn: 100%;
+ Hoàn thành chậm 1–  3 ngày làm việc: 80%;
+ Hoàn thành chậm 4 – 5  ngày làm việc: 60%;
+ Hoàn thành chậm trên 5 ngày làm việc: 0%.</t>
    </r>
    <r>
      <rPr>
        <b/>
        <sz val="12"/>
        <rFont val="Times New Roman"/>
        <family val="1"/>
      </rPr>
      <t xml:space="preserve">
</t>
    </r>
  </si>
  <si>
    <r>
      <rPr>
        <b/>
        <sz val="12"/>
        <rFont val="Times New Roman"/>
        <family val="1"/>
      </rPr>
      <t xml:space="preserve">(6) </t>
    </r>
    <r>
      <rPr>
        <i/>
        <sz val="12"/>
        <rFont val="Times New Roman"/>
        <family val="1"/>
      </rPr>
      <t>Căn cứ chất lượng sản phẩm
+ Đạt đầy đủ yêu cầu: 100%;
+ Đạt yêu cầu, chỉnh sửa nhỏ: 80%;
+ Hoàn thành cơ bản: 60%;
+ Không đạt yêu cầu: 0%.</t>
    </r>
  </si>
  <si>
    <r>
      <rPr>
        <b/>
        <sz val="12"/>
        <rFont val="Times New Roman"/>
        <family val="1"/>
      </rPr>
      <t xml:space="preserve">(7)
</t>
    </r>
    <r>
      <rPr>
        <sz val="12"/>
        <rFont val="Times New Roman"/>
        <family val="1"/>
      </rPr>
      <t>= (3) * (30% (5)+70%(6))</t>
    </r>
  </si>
  <si>
    <r>
      <rPr>
        <b/>
        <sz val="12"/>
        <rFont val="Times New Roman"/>
        <family val="1"/>
      </rPr>
      <t xml:space="preserve">(8)
</t>
    </r>
    <r>
      <rPr>
        <sz val="12"/>
        <rFont val="Times New Roman"/>
        <family val="1"/>
      </rPr>
      <t>= (7)*(4)</t>
    </r>
  </si>
  <si>
    <r>
      <rPr>
        <sz val="13"/>
        <rFont val="Times New Roman"/>
        <family val="1"/>
      </rPr>
      <t xml:space="preserve">Công văn số 1506-CV/BTCTU ngày 23/4/2026 rà soát các khoản chi thường xuyên để điều chỉnh dự toán ngân sách nhà nước năm 2026 (Công văn số 2846-CV/VPTU ngày 17/4/2026)
</t>
    </r>
    <r>
      <rPr>
        <i/>
        <sz val="13"/>
        <color rgb="FFFF0000"/>
        <rFont val="Times New Roman"/>
        <family val="1"/>
      </rPr>
      <t>(trước hạn, đạt đầy đủ yêu cầu)</t>
    </r>
  </si>
  <si>
    <r>
      <rPr>
        <b/>
        <i/>
        <sz val="13"/>
        <rFont val="Times New Roman"/>
        <family val="1"/>
      </rPr>
      <t xml:space="preserve">KPI % (trục 1) = B/A </t>
    </r>
    <r>
      <rPr>
        <i/>
        <sz val="13"/>
        <rFont val="Times New Roman"/>
        <family val="1"/>
      </rPr>
      <t>(nếu không có nhiệm vụ thì KPI được trọn 100%)</t>
    </r>
    <r>
      <rPr>
        <b/>
        <i/>
        <sz val="13"/>
        <rFont val="Times New Roman"/>
        <family val="1"/>
      </rPr>
      <t xml:space="preserve"> </t>
    </r>
  </si>
  <si>
    <r>
      <rPr>
        <b/>
        <i/>
        <sz val="13"/>
        <rFont val="Times New Roman"/>
        <family val="1"/>
      </rPr>
      <t xml:space="preserve">KPI % (trục 2) = B/A </t>
    </r>
    <r>
      <rPr>
        <i/>
        <sz val="13"/>
        <rFont val="Times New Roman"/>
        <family val="1"/>
      </rPr>
      <t>(nếu không có nhiệm vụ thì KPI được trọn 100%)</t>
    </r>
    <r>
      <rPr>
        <b/>
        <i/>
        <sz val="13"/>
        <rFont val="Times New Roman"/>
        <family val="1"/>
      </rPr>
      <t xml:space="preserve"> </t>
    </r>
  </si>
  <si>
    <r>
      <rPr>
        <sz val="13"/>
        <rFont val="Times New Roman"/>
        <family val="1"/>
      </rPr>
      <t xml:space="preserve">Công văn số 1461-CV/BTCTU ngày 20/4/2026 về khai thác dữ liệu văn bản điện tử không mật của Thành phố Hồ Chí Minh (cũ), Tỉnh Bình Dương, Tỉnh Bà Rịa - Vũng Tàu trước sáp nhập (Công văn số 2519-CV/VPTU ngày 30/3/2026)
</t>
    </r>
    <r>
      <rPr>
        <i/>
        <sz val="13"/>
        <color rgb="FFFF0000"/>
        <rFont val="Times New Roman"/>
        <family val="1"/>
      </rPr>
      <t>(trước hạn, đạt yêu cầu, chỉnh sửa nhỏ)</t>
    </r>
  </si>
  <si>
    <r>
      <rPr>
        <b/>
        <i/>
        <sz val="13"/>
        <rFont val="Times New Roman"/>
        <family val="1"/>
      </rPr>
      <t xml:space="preserve">KPI % (trục 3) = B/A </t>
    </r>
    <r>
      <rPr>
        <i/>
        <sz val="13"/>
        <rFont val="Times New Roman"/>
        <family val="1"/>
      </rPr>
      <t>(nếu không có nhiệm vụ thì KPI được trọn 100%)</t>
    </r>
    <r>
      <rPr>
        <b/>
        <i/>
        <sz val="13"/>
        <rFont val="Times New Roman"/>
        <family val="1"/>
      </rPr>
      <t xml:space="preserve"> </t>
    </r>
  </si>
  <si>
    <r>
      <rPr>
        <sz val="13"/>
        <color rgb="FF000000"/>
        <rFont val="Times New Roman"/>
        <family val="1"/>
      </rPr>
      <t xml:space="preserve">Kế hoạch số 54-KH/TU ngày 06/4/2026 rà soát, bổ sung quy hoạch nguồn Thành ủy khóa I và cán bộ lãnh đạo, quản lý thuộc Thành ủy khóa I, nhiệm kỳ 2025-2030
</t>
    </r>
    <r>
      <rPr>
        <i/>
        <sz val="13"/>
        <color rgb="FFFF0000"/>
        <rFont val="Times New Roman"/>
        <family val="1"/>
      </rPr>
      <t>(trễ hạn &gt;=5 ngày, đạt yêu cầu, chỉnh sửa nhỏ)</t>
    </r>
  </si>
  <si>
    <r>
      <rPr>
        <sz val="13"/>
        <rFont val="Times New Roman"/>
        <family val="1"/>
      </rPr>
      <t xml:space="preserve">Công văn số 1410-CV/BTCTU ngày 14/4/2026 hỗ trợ, cung cấp thông tin quy hoạch các cá nhân thuộc diện Ban Thường vụ Thành ủy quản lý (Công văn số 1706/TTTP-TCCB ngày 09/4/2026 của Thanh tra Thành phố)
</t>
    </r>
    <r>
      <rPr>
        <b/>
        <i/>
        <sz val="13"/>
        <color rgb="FFFF0000"/>
        <rFont val="Times New Roman"/>
        <family val="1"/>
      </rPr>
      <t>(trễ hạn &gt;=5 ngày, đạt đầy đủ yêu cầu )</t>
    </r>
  </si>
  <si>
    <r>
      <rPr>
        <sz val="13"/>
        <rFont val="Times New Roman"/>
        <family val="1"/>
      </rPr>
      <t xml:space="preserve">Công văn số 294-CV/TU ngày 22/4/2026 triển khai Kết luận số 12-KL/TW, ngày 19/3/2026 của Bộ Chính trị về kết quả kiểm điểm, đánh giá, xếp loại chất lượng đối với tập thể, cá nhân ban thường vụ các tỉnh ủy, thành ủy, đảng ủy trực thuộc Trung ương; tập thể, cá nhân cán bộ lãnh đạo, quản lý các cơ quan, đơn vị ở Trung ương năm 2025 (Phiếu chuyển số 410-PC/VPTU ngày 27/3/2026)
</t>
    </r>
    <r>
      <rPr>
        <i/>
        <sz val="13"/>
        <color rgb="FFFF0000"/>
        <rFont val="Times New Roman"/>
        <family val="1"/>
      </rPr>
      <t>(trước hạn, đạt đầy đủ yêu cầu)</t>
    </r>
  </si>
  <si>
    <r>
      <rPr>
        <sz val="13"/>
        <rFont val="Times New Roman"/>
        <family val="1"/>
      </rPr>
      <t xml:space="preserve">Công văn số 251-CV/TU ngày 31/3/2026 chỉ đạo tiến hành rà soát, đánh giá tổng thể về số lượng, chất lượng đội ngũ cán bộ cơ sở, tổng hợp báo cáo Ban Thường vụ Thành ủy chất lượng đội ngũ cán bộ cơ sở 
</t>
    </r>
    <r>
      <rPr>
        <i/>
        <sz val="13"/>
        <color rgb="FFFF0000"/>
        <rFont val="Times New Roman"/>
        <family val="1"/>
      </rPr>
      <t>(trước hạn, đạt đầy đủ yêu cầu)</t>
    </r>
  </si>
  <si>
    <r>
      <rPr>
        <sz val="13"/>
        <rFont val="Times New Roman"/>
        <family val="1"/>
      </rPr>
      <t xml:space="preserve">Công văn số 295-CV/TU ngày 22/4/2026 thực hiện Kết luận số 16-KL/TW, ngày 31/3/2026 của Bộ Chính trị, Ban Bí thư về thực hiện một số nội dung, nhiệm vụ trọng tâm hoạt động của tổ chức cơ sở đảng trong quý II năm 2026 (Phiếu chuyển số 473-PC/VPTU ngay 03/4/2026)
</t>
    </r>
    <r>
      <rPr>
        <i/>
        <sz val="13"/>
        <color rgb="FFFF0000"/>
        <rFont val="Times New Roman"/>
        <family val="1"/>
      </rPr>
      <t>(trễ hạn 4-5 ngày, đạt đầy đủ yêu cầu)</t>
    </r>
  </si>
  <si>
    <r>
      <rPr>
        <sz val="13"/>
        <rFont val="Times New Roman"/>
        <family val="1"/>
      </rPr>
      <t xml:space="preserve">Kế hoạch số 62-KH/TU ngày 22/4/2026 tổ chức tiếp Đoàn khảo sát về công tác xây dựng, chỉnh đốn Đảng và hệ thống chính trị; củng cố, nâng cao chất lượng tổ chức đảng và đội ngũ đảng viên (Kế hoạch số 21-KH/BTCTTW ngày 15/4/2026, Phiếu chuyển 559-PC/VPTU ngày 16/4/2026)
</t>
    </r>
    <r>
      <rPr>
        <i/>
        <sz val="13"/>
        <color rgb="FFFF0000"/>
        <rFont val="Times New Roman"/>
        <family val="1"/>
      </rPr>
      <t>(đúng hạn, đạt đầy đủ yêu cầu)</t>
    </r>
  </si>
  <si>
    <r>
      <rPr>
        <sz val="13"/>
        <rFont val="Times New Roman"/>
        <family val="1"/>
      </rPr>
      <t xml:space="preserve">Nghị quyết số 09-NQ/TU ngày 14/4/42026 của Ban Thường vụ Thành ủy về giải pháp nâng cao chất lượng cán bộ cơ sở; bảo đảm mọi giải pháp đều có cơ chế theo dõi, kiểm tra, phản hồi và chịu trách nhiệm  (Công văn số 251-CV/TU ngày 31/3/2026)
</t>
    </r>
    <r>
      <rPr>
        <i/>
        <sz val="13"/>
        <color rgb="FFFF0000"/>
        <rFont val="Times New Roman"/>
        <family val="1"/>
      </rPr>
      <t>(đúng hạn, đạt đầy đủ yêu cầu)</t>
    </r>
  </si>
  <si>
    <r>
      <rPr>
        <sz val="13"/>
        <rFont val="Times New Roman"/>
        <family val="1"/>
      </rPr>
      <t xml:space="preserve">Quyết định số 790-QĐ/TU ngày 22/4/2026 tham mưu cử cán bộ đi nghiên cứu, khảo sát tại Trung Quốc (Công văn số 508-CV/BTCTW ngày 03/4/2026, Phiếu chuyển 482-PC/VPTU ngày 06/4/2026)
</t>
    </r>
    <r>
      <rPr>
        <i/>
        <sz val="13"/>
        <color rgb="FFFF0000"/>
        <rFont val="Times New Roman"/>
        <family val="1"/>
      </rPr>
      <t>(đúng hạn, đạt yêu cầu, chỉnh sửa nhỏ)</t>
    </r>
  </si>
  <si>
    <r>
      <rPr>
        <sz val="13"/>
        <rFont val="Times New Roman"/>
        <family val="1"/>
      </rPr>
      <t xml:space="preserve">Tờ trình số 539-TTr/BTCTU ngày 21/4/2026 về cử cán bộ tham gia khóa bồi dưỡng ngắn hạn tại Nhật Bản (Công văn số 10-CV/BCĐ ngày 31/3/2026 của Ban Chỉ đạo các chương trình đào tạo, bồi dưỡng nước ngoài Trung ương)
</t>
    </r>
    <r>
      <rPr>
        <i/>
        <sz val="13"/>
        <color rgb="FFFF0000"/>
        <rFont val="Times New Roman"/>
        <family val="1"/>
      </rPr>
      <t>(đúng hạn, đạt đầy đủ yêu cầu)</t>
    </r>
  </si>
  <si>
    <r>
      <rPr>
        <sz val="13"/>
        <rFont val="Times New Roman"/>
        <family val="1"/>
      </rPr>
      <t xml:space="preserve">Công văn số 1441-CV/BTCTU ngày 17/4/2026 hướng dẫn rà soát, quy hoạch cán bộ năm 2026 đối với người giữ chức danh, chức vụ quản lý trong doanh nghiệp do Nhà nước nắm giữ 100% vốn điều lệ thuộc Ủy ban nhân dân Thành phố (Công văn số 5812/SNV ngày 09/4/2026
</t>
    </r>
    <r>
      <rPr>
        <i/>
        <sz val="13"/>
        <color rgb="FFFF0000"/>
        <rFont val="Times New Roman"/>
        <family val="1"/>
      </rPr>
      <t>(trước hạn, đạt đầy đủ yêu cầu)</t>
    </r>
  </si>
  <si>
    <r>
      <rPr>
        <sz val="13"/>
        <rFont val="Times New Roman"/>
        <family val="1"/>
      </rPr>
      <t xml:space="preserve">Công văn số 1496-CV/BTCTU ngày 22/4/2026 báo cáo kinh phí mua vé máy bay đi công tác nước ngoài cho một số chức danh lãnh đạo của Thành phố (Công văn số 2731-CV/VPTU ngày 10/4/2026)
</t>
    </r>
    <r>
      <rPr>
        <i/>
        <sz val="13"/>
        <color rgb="FFFF0000"/>
        <rFont val="Times New Roman"/>
        <family val="1"/>
      </rPr>
      <t>(đúng hạn, đạt đầy đủ yêu cầu)</t>
    </r>
  </si>
  <si>
    <r>
      <rPr>
        <sz val="13"/>
        <rFont val="Times New Roman"/>
        <family val="1"/>
      </rPr>
      <t xml:space="preserve">Công văn số 1459-CV/BTCTU ngày 20/4/2026 cử cán bộ tham gia Đoàn kiểm tra việc lãnh đạo, chỉ đạo và tổ chức thực hiện Kết luận số 89-KL/TW (Công văn số 1234-CV/BTGDVTU ngày 16 tháng 4 năm 2026)
</t>
    </r>
    <r>
      <rPr>
        <i/>
        <sz val="13"/>
        <color rgb="FFFF0000"/>
        <rFont val="Times New Roman"/>
        <family val="1"/>
      </rPr>
      <t>(trễ hạn &gt;=5 ngày, đạt đầy đủ yêu cầu)</t>
    </r>
  </si>
  <si>
    <r>
      <rPr>
        <sz val="13"/>
        <rFont val="Times New Roman"/>
        <family val="1"/>
      </rPr>
      <t xml:space="preserve">Công văn số 1496-CV/BTCTU ngày 22/4/2026 báo cáo kinh phí mua vé máy bay đi công tác nước ngoài cho một số chức danh lãnh đạo của Thành phố (Công văn số 2731-CV/VPTU ngày 10/4/2026)
</t>
    </r>
    <r>
      <rPr>
        <i/>
        <sz val="13"/>
        <color rgb="FFFF0000"/>
        <rFont val="Times New Roman"/>
        <family val="1"/>
      </rPr>
      <t>(đúng hạn, đạt đầy đủ yêu cầu)</t>
    </r>
  </si>
  <si>
    <r>
      <rPr>
        <sz val="13"/>
        <rFont val="Times New Roman"/>
        <family val="1"/>
      </rPr>
      <t xml:space="preserve">Công văn số 340-CV/TU ngày 21/5/2026 góp ý các dự thảo quy định của Ban Bí thư về chức năng, nhiệm vụ, tổ chức bộ máy, mối quan hệ công tác của tổ chức đảng trong các cơ sở giáo dục đại học công lập theo Công văn số 788-CV/BTCTW ngày 05/5/2026 (Công văn số 3176-CV/VPTU ngày 06/5/2026)
</t>
    </r>
    <r>
      <rPr>
        <i/>
        <sz val="13"/>
        <color rgb="FFFF0000"/>
        <rFont val="Times New Roman"/>
        <family val="1"/>
      </rPr>
      <t>(trước hạn, đạt đầy đủ yêu cầu)</t>
    </r>
  </si>
  <si>
    <r>
      <rPr>
        <sz val="13"/>
        <rFont val="Times New Roman"/>
        <family val="1"/>
      </rPr>
      <t xml:space="preserve">Tham mưu góp ý hồ sơ dự thảo quyết định của UBND Thành phố ban hành quy định về kiểm điểm, dánh giá, xếp loại chất lượng đối với cơ quan hành chính Nhà nước và công chức trên địa bàn TPHCM
</t>
    </r>
    <r>
      <rPr>
        <i/>
        <sz val="13"/>
        <color rgb="FFFF0000"/>
        <rFont val="Times New Roman"/>
        <family val="1"/>
      </rPr>
      <t>(đúng hạn, đạt đầy đủ yêu cầu)</t>
    </r>
  </si>
  <si>
    <r>
      <rPr>
        <sz val="13"/>
        <rFont val="Times New Roman"/>
        <family val="1"/>
      </rPr>
      <t xml:space="preserve">Công văn số 337-CV/TU ngày 19/5/2026 góp ý dự thảo Hướng dẫn nội dung chương trình bồi dưỡng thuộc chức năng, nhiệm vụ của trường chính trị giai đoạn 2026-2030 theo Công văn số 901-CV/HVCTQG ngày 04/5/2026 (Phiếu chuyển số 664-PC/VPTU ngày 05/5/2026)
</t>
    </r>
    <r>
      <rPr>
        <i/>
        <sz val="13"/>
        <color rgb="FFFF0000"/>
        <rFont val="Times New Roman"/>
        <family val="1"/>
      </rPr>
      <t>(đúng hạn, đạt đầy đủ yêu cầu)</t>
    </r>
  </si>
  <si>
    <r>
      <rPr>
        <sz val="13"/>
        <rFont val="Times New Roman"/>
        <family val="1"/>
      </rPr>
      <t xml:space="preserve">Công văn số 333-CV/TU ngày 18/5/2026 góp ý dự thảo Kết luận của Ban Bí thư về tiếp tục thực hiện Chỉ thị số 33-CT/TW, ngày 18/3/2019 của Ban Bí thư về tăng cường xây dựng tổ chức đảng trong các đơn vị kinh tế tư nhân (Phiếu chuyển số 727-PC/VPTU ngày 13/5/2026)
</t>
    </r>
    <r>
      <rPr>
        <i/>
        <sz val="13"/>
        <color rgb="FFFF0000"/>
        <rFont val="Times New Roman"/>
        <family val="1"/>
      </rPr>
      <t>(trễ hạn 4 ngày, đạt đầy đủ yêu cầu)</t>
    </r>
  </si>
  <si>
    <r>
      <rPr>
        <sz val="13"/>
        <rFont val="Times New Roman"/>
        <family val="1"/>
      </rPr>
      <t xml:space="preserve">Công văn số 340-CV/TU ngày 21/5/2026 góp ý dự thảo Quy phối hợp công tác giữa đảng ủy bộ, ngành Trung ương với cấp ủy cấp trên trực tiếp của tổ chức đảng trong cơ sở giáo dục đại học công lập (Công văn số 871-CV/BTCTW ngày 12/5/2026 của Ban Tổ chức Trung ương)
</t>
    </r>
    <r>
      <rPr>
        <i/>
        <sz val="13"/>
        <color rgb="FFFF0000"/>
        <rFont val="Times New Roman"/>
        <family val="1"/>
      </rPr>
      <t>(trước hạn, đạt đầy đủ yêu cầu)</t>
    </r>
  </si>
  <si>
    <r>
      <rPr>
        <sz val="13"/>
        <rFont val="Times New Roman"/>
        <family val="1"/>
      </rPr>
      <t xml:space="preserve">Quyết định số 821-QĐ/TU ngày 22/5/2026 tạm giao biên chế năm 2026 của Khối Đảng, Cơ quan Mặt trận Tổ quốc Việt Nam Thành phố; khối Đảng, cơ quan Ủy ban Mặt trận Tổ quốc Việt Nam xã, phường, đặc khu năm 2026 để tiếp nhận một số cán bộ không chuyên trách đủ điều kiện vào công chức
</t>
    </r>
    <r>
      <rPr>
        <i/>
        <sz val="13"/>
        <color rgb="FFFF0000"/>
        <rFont val="Times New Roman"/>
        <family val="1"/>
      </rPr>
      <t>(trễ hạn 3ngày, đạt yêu cầu, chỉnh sửa nhỏ)</t>
    </r>
  </si>
  <si>
    <r>
      <rPr>
        <sz val="13"/>
        <rFont val="Times New Roman"/>
        <family val="1"/>
      </rPr>
      <t xml:space="preserve">Công văn số 1771-CV/BTCTU ngày 18/5/2026 Hướng dẫn xây dựng Đề án vị trí việc làm công chức, viên chức
</t>
    </r>
    <r>
      <rPr>
        <i/>
        <sz val="13"/>
        <color rgb="FFFF0000"/>
        <rFont val="Times New Roman"/>
        <family val="1"/>
      </rPr>
      <t>(trễ hạn 1 ngày, đạt đầy đủ yêu cầu)</t>
    </r>
  </si>
  <si>
    <r>
      <rPr>
        <sz val="13"/>
        <rFont val="Times New Roman"/>
        <family val="1"/>
      </rPr>
      <t xml:space="preserve">Tờ trình số 648-TTr/BTCTU ngày 24/5/2026 báo cáo chuyên đề những điểm mới, mô hình, sáng kiến, cách làm hiệu quả, kết quả nổi bật của TP.HCM sau 1 năm vận hành chính quyền địa phương 2 cấp; đề xuất, kiến nghị (Công văn số 341-CV/TU ngày 21/5/2026)
</t>
    </r>
    <r>
      <rPr>
        <i/>
        <sz val="13"/>
        <color rgb="FFFF0000"/>
        <rFont val="Times New Roman"/>
        <family val="1"/>
      </rPr>
      <t>(đúng hạn, đạt đầy đủ yêu cầu)</t>
    </r>
  </si>
  <si>
    <r>
      <rPr>
        <sz val="13"/>
        <rFont val="Times New Roman"/>
        <family val="1"/>
      </rPr>
      <t xml:space="preserve">Tờ trình số 648-TTr/BTCTU ngày 24/5/2026
Tờ trình số 6454TTr/BTCTU ngày 27/5/2026 về dự thảo Báo cáo của Ban Thường vụ Thành ủy về sơ kết 01 năm vận hành bộ máy của hệ thống chính trị và chính quyền địa phương 2 (Kế hoạch số 73-KH/TU ngày 19/5/2026)
</t>
    </r>
    <r>
      <rPr>
        <i/>
        <sz val="13"/>
        <color rgb="FFFF0000"/>
        <rFont val="Times New Roman"/>
        <family val="1"/>
      </rPr>
      <t>(trễ hạn 1 ngày, đạt đầy đủ yêu cầu)</t>
    </r>
  </si>
  <si>
    <r>
      <rPr>
        <sz val="13"/>
        <rFont val="Times New Roman"/>
        <family val="1"/>
      </rPr>
      <t xml:space="preserve">Công văn số 1563-CV/BTCTU ngày 29/4/2026 phúc đáp Công văn số 451/SNV- TCBC&amp;TCPCP ngày 21/4/2026 của Sở Nội vụ
</t>
    </r>
    <r>
      <rPr>
        <i/>
        <sz val="13"/>
        <color rgb="FFFF0000"/>
        <rFont val="Times New Roman"/>
        <family val="1"/>
      </rPr>
      <t>(đúng hạn, đạt đầy đủ yêu cầu)</t>
    </r>
  </si>
  <si>
    <r>
      <rPr>
        <sz val="13"/>
        <rFont val="Times New Roman"/>
        <family val="1"/>
      </rPr>
      <t xml:space="preserve">Hướng dẫn số 03-HD/BTCTU ngày 22/5/2026 về chức năng, nhiệm vụ, tổ chức bộ máy Trung tâm chính trị xã, phường, đặc khu trên địa bàn TP.HCM
</t>
    </r>
    <r>
      <rPr>
        <i/>
        <sz val="13"/>
        <color rgb="FFFF0000"/>
        <rFont val="Times New Roman"/>
        <family val="1"/>
      </rPr>
      <t>(đúng hạn, đạt đầy đủ yêu cầu)</t>
    </r>
  </si>
  <si>
    <r>
      <rPr>
        <sz val="13"/>
        <rFont val="Times New Roman"/>
        <family val="1"/>
      </rPr>
      <t xml:space="preserve">Công văn số 1766-CV/BTCTU ngày 15/5/2026 Báo cáo sơ kết 5 năm thực hiện Chỉ thị số 04-CT/TW của Ban Bí thư (Công văn số 1564-CV/BNCTU-P3 ngày 14/5/2026)
</t>
    </r>
    <r>
      <rPr>
        <i/>
        <sz val="13"/>
        <color rgb="FFFF0000"/>
        <rFont val="Times New Roman"/>
        <family val="1"/>
      </rPr>
      <t>(đúng hạn, đạt đầy đủ yêu cầu)</t>
    </r>
  </si>
  <si>
    <r>
      <rPr>
        <sz val="13"/>
        <rFont val="Times New Roman"/>
        <family val="1"/>
      </rPr>
      <t xml:space="preserve">Công văn 1717-CV/BTCTU, 14/5/2026 phúc đáp Công văn số 6837/STC-QLNS ngày 23 tháng 3 năm 2026 của Sở Tài Chính về đề nghị cung cấp biên chế khối Đảng, cơ quan Ủy ban Mặt trận Tổ quốc Việt Nam Thành phố; khối Đảng, cơ quan Ủy ban Mặt trận Tổ quốc Việt Nam xã, phường, đặc khu năm 2026 và dự kiến đề xuất năm 2027
</t>
    </r>
    <r>
      <rPr>
        <i/>
        <sz val="13"/>
        <color rgb="FFFF0000"/>
        <rFont val="Times New Roman"/>
        <family val="1"/>
      </rPr>
      <t>(đúng hạn, đạt đầy đủ yêu cầu)</t>
    </r>
  </si>
  <si>
    <r>
      <rPr>
        <sz val="13"/>
        <rFont val="Times New Roman"/>
        <family val="1"/>
      </rPr>
      <t xml:space="preserve">Công văn số 1779-CV/BTCTU ngày 18/5/2026 góp ý dự thảo sửa đổi, bổ sung Quy chế làm việc của Ban Chấp hành, Ban Thường vụ, Thường trực Đảng ủy xã Cần Giờ nhiệm kỳ 2025 - 2030 (Công văn số 269-CV/ĐU ngày 13/5/2026 của Ban Thường vụ Đảng ủy xã Cần Giờ)
</t>
    </r>
    <r>
      <rPr>
        <i/>
        <sz val="13"/>
        <color rgb="FFFF0000"/>
        <rFont val="Times New Roman"/>
        <family val="1"/>
      </rPr>
      <t>(đúng hạn, đạt đầy đủ yêu cầu)</t>
    </r>
  </si>
  <si>
    <r>
      <rPr>
        <sz val="13"/>
        <rFont val="Times New Roman"/>
        <family val="1"/>
      </rPr>
      <t xml:space="preserve">Công văn số 1810-CV/BTCTU ngày 19/5/2026 lấy ý kiến dự thảo Báo cáo kết quả kiểm điểm các cá nhân, tổ chức có liên quan đến công tác tham mưu dự án Trung tâm sát hạch lái xe Hải Vân (Công văn số 7980/SNV-XDCQTTN ngày 13/5/2026 của Sở Nội vụ)
</t>
    </r>
    <r>
      <rPr>
        <i/>
        <sz val="13"/>
        <color rgb="FFFF0000"/>
        <rFont val="Times New Roman"/>
        <family val="1"/>
      </rPr>
      <t>(đúng hạn, đạt đầy đủ yêu cầu)</t>
    </r>
  </si>
  <si>
    <r>
      <rPr>
        <sz val="13"/>
        <rFont val="Times New Roman"/>
        <family val="1"/>
      </rPr>
      <t xml:space="preserve">Công văn số 1435-CV/BTCTU ngày 16/4/2026 phúc đáp Công văn số 712/MTTQ-BTT ngày 06/4/2026 về trao đổi thông tin liên quan đến đánh giá, xếp loại chất lượng cán bộ lãnh đạo, quản lý
</t>
    </r>
    <r>
      <rPr>
        <i/>
        <sz val="13"/>
        <color rgb="FFFF0000"/>
        <rFont val="Times New Roman"/>
        <family val="1"/>
      </rPr>
      <t>(đúng hạn, đạt đầy đủ yêu cầu)</t>
    </r>
  </si>
  <si>
    <r>
      <rPr>
        <sz val="13"/>
        <rFont val="Times New Roman"/>
        <family val="1"/>
      </rPr>
      <t xml:space="preserve">Công văn số 1881-CV/BTCTU ngày 26/5/2026 phúc đáp Công văn số 8574/SNV-TCBC&amp;TCPCP ngày 21/5/2026 của Sở Nội vụ
</t>
    </r>
    <r>
      <rPr>
        <i/>
        <sz val="13"/>
        <color rgb="FFFF0000"/>
        <rFont val="Times New Roman"/>
        <family val="1"/>
      </rPr>
      <t>(trước hạn, đạt đầy đủ yêu cầu)</t>
    </r>
  </si>
  <si>
    <r>
      <rPr>
        <sz val="13"/>
        <rFont val="Times New Roman"/>
        <family val="1"/>
      </rPr>
      <t xml:space="preserve">Công văn số 1874-CV/BTCTU ngày 25/5/2026 góp ý hồ sơ dự thảo Quyết định ban hành Bộ tiêu chí xã nông thôn mới và Bộ tiêu chí xã nông thôn mới hiện đại trên địa bàn vùng nông thôn Thành phố Hồ Chí Minh giai đoạn 2026 - 2030 (Công văn số 14215/SNNMT-NTM&amp;GN ngày 18/5/2026 của Sở Nông nghiệp và Môi trường)
</t>
    </r>
    <r>
      <rPr>
        <i/>
        <sz val="13"/>
        <color rgb="FFFF0000"/>
        <rFont val="Times New Roman"/>
        <family val="1"/>
      </rPr>
      <t>(trước hạn, đạt đầy đủ yêu cầu)</t>
    </r>
  </si>
  <si>
    <r>
      <rPr>
        <sz val="13"/>
        <rFont val="Times New Roman"/>
        <family val="1"/>
      </rPr>
      <t xml:space="preserve">Công văn số 1841-CV/BTCTU ngày 22/5/2026 triển khai tuyển sinh, đào tạo thạc sĩ hệ dân sự ngành An ninh phi truyền thống (Công văn số 2469/T01-QLĐT của Học viện An ninh nhân dân)
</t>
    </r>
    <r>
      <rPr>
        <i/>
        <sz val="13"/>
        <rFont val="Times New Roman"/>
        <family val="1"/>
      </rPr>
      <t>(trước hạn, đạt đầy đủ yêu cầu</t>
    </r>
    <r>
      <rPr>
        <sz val="13"/>
        <rFont val="Times New Roman"/>
        <family val="1"/>
      </rPr>
      <t>)</t>
    </r>
  </si>
  <si>
    <r>
      <rPr>
        <sz val="13"/>
        <rFont val="Times New Roman"/>
        <family val="1"/>
      </rPr>
      <t xml:space="preserve">Rà soát nhu cầu, cơ sở đào tạo, bồi dưỡng, chủ động xây dựng kế hoạch đào tạo, bồi dưỡng cho cán bộ cơ sở phù hợp với yêu cầu nhiệm vụ tại địa phương; báo cáo về Trung ương (qua Ban Tổ chức Trung ương) đối với nội dung cần Trung ương hỗ trợ đào tạo, bồi dưỡng (Công văn số 251-CV/TU ngày 31/3/2026). Hoàn thành trong tháng 6/2026
</t>
    </r>
    <r>
      <rPr>
        <i/>
        <sz val="13"/>
        <rFont val="Times New Roman"/>
        <family val="1"/>
      </rPr>
      <t>(trước hạn, hoàn thành cơ bản)</t>
    </r>
  </si>
  <si>
    <r>
      <rPr>
        <b/>
        <i/>
        <sz val="13"/>
        <rFont val="Times New Roman"/>
        <family val="1"/>
      </rPr>
      <t xml:space="preserve">KPI % (trục 4) = B/A </t>
    </r>
    <r>
      <rPr>
        <i/>
        <sz val="13"/>
        <rFont val="Times New Roman"/>
        <family val="1"/>
      </rPr>
      <t>(nếu không có nhiệm vụ thì KPI được trọn 100%)</t>
    </r>
    <r>
      <rPr>
        <b/>
        <i/>
        <sz val="13"/>
        <rFont val="Times New Roman"/>
        <family val="1"/>
      </rPr>
      <t xml:space="preserve"> </t>
    </r>
  </si>
  <si>
    <r>
      <rPr>
        <b/>
        <i/>
        <sz val="13"/>
        <rFont val="Times New Roman"/>
        <family val="1"/>
      </rPr>
      <t xml:space="preserve">KPI % (trục 5) = B/A </t>
    </r>
    <r>
      <rPr>
        <i/>
        <sz val="13"/>
        <rFont val="Times New Roman"/>
        <family val="1"/>
      </rPr>
      <t>(nếu không có nhiệm vụ thì KPI được trọn 100%)</t>
    </r>
    <r>
      <rPr>
        <b/>
        <i/>
        <sz val="13"/>
        <rFont val="Times New Roman"/>
        <family val="1"/>
      </rPr>
      <t xml:space="preserve"> </t>
    </r>
  </si>
  <si>
    <t>Tổng điểm A trục 6</t>
  </si>
  <si>
    <t>Tổng điểm B trục 6</t>
  </si>
  <si>
    <r>
      <rPr>
        <b/>
        <i/>
        <sz val="13"/>
        <rFont val="Times New Roman"/>
        <family val="1"/>
      </rPr>
      <t xml:space="preserve">KPI % (trục 6) = B/A </t>
    </r>
    <r>
      <rPr>
        <i/>
        <sz val="13"/>
        <rFont val="Times New Roman"/>
        <family val="1"/>
      </rPr>
      <t>(nếu không có nhiệm vụ thì KPI được trọn 100%)</t>
    </r>
    <r>
      <rPr>
        <b/>
        <i/>
        <sz val="13"/>
        <rFont val="Times New Roman"/>
        <family val="1"/>
      </rPr>
      <t xml:space="preserve"> </t>
    </r>
  </si>
  <si>
    <t>(Điểm % này được sử dụng để đưa vào cột Điểm KPI (%) tại trục 6, phần II, mẫu 1. Bản tự nhận xét, đánh giá của cá nhân)</t>
  </si>
  <si>
    <t>T/M TẬP THỂ LÃNH ĐẠO CƠ QUAN, ĐƠN VỊ, ĐỊA PHƯƠNG
(ký, đóng dấu)</t>
  </si>
  <si>
    <r>
      <rPr>
        <b/>
        <sz val="14"/>
        <color rgb="FF000000"/>
        <rFont val="Times New Roman"/>
        <family val="1"/>
      </rPr>
      <t xml:space="preserve">Cột 2. Tên công việc: </t>
    </r>
    <r>
      <rPr>
        <sz val="14"/>
        <color rgb="FF000000"/>
        <rFont val="Times New Roman"/>
        <family val="1"/>
      </rPr>
      <t>ghi nội dung ngắn gọn, phản ánh đúng nhiệm vụ;</t>
    </r>
    <r>
      <rPr>
        <b/>
        <sz val="14"/>
        <color rgb="FF000000"/>
        <rFont val="Times New Roman"/>
        <family val="1"/>
      </rPr>
      <t xml:space="preserve">
Cột 3. Điểm chuẩn:</t>
    </r>
    <r>
      <rPr>
        <sz val="14"/>
        <color rgb="FF000000"/>
        <rFont val="Times New Roman"/>
        <family val="1"/>
      </rPr>
      <t xml:space="preserve"> Điểm chuẩn của công việc được xác định tại Danh mục Sản phẩm chuẩn</t>
    </r>
    <r>
      <rPr>
        <b/>
        <sz val="14"/>
        <color rgb="FF000000"/>
        <rFont val="Times New Roman"/>
        <family val="1"/>
      </rPr>
      <t xml:space="preserve">
Cột 4. Hệ số độ khó: </t>
    </r>
    <r>
      <rPr>
        <sz val="14"/>
        <color rgb="FF000000"/>
        <rFont val="Times New Roman"/>
        <family val="1"/>
      </rPr>
      <t>Hệ số độ khó của công việc được xác định tại Danh mục Sản phẩm chuẩn</t>
    </r>
    <r>
      <rPr>
        <b/>
        <sz val="14"/>
        <color rgb="FF000000"/>
        <rFont val="Times New Roman"/>
        <family val="1"/>
      </rPr>
      <t xml:space="preserve">
Cột 5. Tiến độ %: </t>
    </r>
    <r>
      <rPr>
        <sz val="14"/>
        <color rgb="FF000000"/>
        <rFont val="Times New Roman"/>
        <family val="1"/>
      </rPr>
      <t>tỷ lệ điểm căn cứ theo thời hạn hoàn thành
+ Hoàn thành đúng hoặc trước hạn: 100%;
+ Hoàn thành chậm 1–  3 ngày làm việc: 80%;
+ Hoàn thành chậm 4 – 5  ngày làm việc: 60%;
+ Hoàn thành chậm trên 5 ngày làm việc: 0%.</t>
    </r>
    <r>
      <rPr>
        <b/>
        <sz val="14"/>
        <color rgb="FF000000"/>
        <rFont val="Times New Roman"/>
        <family val="1"/>
      </rPr>
      <t xml:space="preserve">
Cột 6. Kết quả %: </t>
    </r>
    <r>
      <rPr>
        <sz val="14"/>
        <color rgb="FF000000"/>
        <rFont val="Times New Roman"/>
        <family val="1"/>
      </rPr>
      <t>tỷ lệ điểm căn cứ chất lượng sản phẩm
+ Đạt đầy đủ yêu cầu: 100%;
+ Đạt yêu cầu, chỉnh sửa nhỏ: 80%;
+ Hoàn thành cơ bản: 60%;
+ Không đạt yêu cầu: 0%.</t>
    </r>
    <r>
      <rPr>
        <b/>
        <sz val="14"/>
        <color rgb="FF000000"/>
        <rFont val="Times New Roman"/>
        <family val="1"/>
      </rPr>
      <t xml:space="preserve">
Cột 7. Điểm thực hiện = </t>
    </r>
    <r>
      <rPr>
        <sz val="14"/>
        <color rgb="FF000000"/>
        <rFont val="Times New Roman"/>
        <family val="1"/>
      </rPr>
      <t>Điểm chuẩn (cột 3)*(30%*Tiến độ % (cột 5) + 70%*Kết quả % (cột 6))</t>
    </r>
    <r>
      <rPr>
        <b/>
        <sz val="14"/>
        <color rgb="FF000000"/>
        <rFont val="Times New Roman"/>
        <family val="1"/>
      </rPr>
      <t xml:space="preserve">
Cột 8. Điểm quy đổi </t>
    </r>
    <r>
      <rPr>
        <sz val="14"/>
        <color rgb="FF000000"/>
        <rFont val="Times New Roman"/>
        <family val="1"/>
      </rPr>
      <t>= Điểm thực hiện (cột 7) × Hệ số độ khó (cột 4)</t>
    </r>
  </si>
  <si>
    <r>
      <rPr>
        <b/>
        <sz val="13"/>
        <color rgb="FF000000"/>
        <rFont val="Times New Roman"/>
        <family val="1"/>
      </rPr>
      <t xml:space="preserve">GỢI Ý KHUNG CHẤM ĐIỂM ĐÁNH GIÁ ĐỐI VỚI CÁN BỘ LÃNH ĐẠO, QUẢN LÝ KHỐI ĐẢNG, ĐOÀN THỂ
TRÊN CƠ SỞ CỤ THỂ HOÁ THEO MẪU 5,HƯỚNG DẪN SỐ 43-HD/BTCTW CỦA BAN TỔ CHỨC TRUNG ƯƠNG 
</t>
    </r>
    <r>
      <rPr>
        <i/>
        <sz val="13"/>
        <color rgb="FF000000"/>
        <rFont val="Times New Roman"/>
        <family val="1"/>
      </rPr>
      <t>(kèm theo Hướng dẫn số     -HD/BTCTU, ngày     tháng 6 năm 2026)</t>
    </r>
  </si>
  <si>
    <t>Mẫu 01-Đ,ĐT</t>
  </si>
  <si>
    <r>
      <rPr>
        <b/>
        <sz val="12"/>
        <color rgb="FF000000"/>
        <rFont val="Times New Roman"/>
        <family val="1"/>
      </rPr>
      <t xml:space="preserve">BẢN TỰ ĐÁNH GIÁ, XẾP LOẠI CỦA CÁ NHÂN
</t>
    </r>
    <r>
      <rPr>
        <b/>
        <i/>
        <sz val="12"/>
        <color rgb="FFFF0000"/>
        <rFont val="Times New Roman"/>
        <family val="1"/>
      </rPr>
      <t>(Cách 2: chia nhỏ 6 trục, tính KPI trên điểm từng trục tại phần II, Bản tự đánh giá cá nhân
KPI từng sản phẩm =Điểm chuẩn*(30% Tiến độ %+70% Chất lượng%))</t>
    </r>
  </si>
  <si>
    <t>Quý II, Năm 2026</t>
  </si>
  <si>
    <t>Họ và tên: Thái Thị Bích Liên                                                                             Ngày sinh: 10/4/1973</t>
  </si>
  <si>
    <t>Chức vụ chính quyền: Phó trưởng ban Thường trực Ban Tổ chức Thành ủy</t>
  </si>
  <si>
    <t>Đơn vị công tác: Ban Tổ chức Thành ủy</t>
  </si>
  <si>
    <r>
      <rPr>
        <b/>
        <sz val="11"/>
        <color rgb="FF000000"/>
        <rFont val="Times New Roman"/>
        <family val="1"/>
      </rPr>
      <t xml:space="preserve">Trục (1) - THỰC HIỆN MỤC TIÊU PHÁT TRIỂN KINH TẾ - XÃ HỘI VÀ NHIỆM VỤ CHÍNH TRỊ ĐƯỢC GIAO </t>
    </r>
    <r>
      <rPr>
        <b/>
        <sz val="11"/>
        <color rgb="FF0000CC"/>
        <rFont val="Times New Roman"/>
        <family val="1"/>
      </rPr>
      <t>(10 ĐIỂM)</t>
    </r>
    <r>
      <rPr>
        <sz val="11"/>
        <color rgb="FF000000"/>
        <rFont val="Times New Roman"/>
        <family val="1"/>
      </rPr>
      <t xml:space="preserve">
- </t>
    </r>
    <r>
      <rPr>
        <sz val="11"/>
        <color rgb="FF0000CC"/>
        <rFont val="Times New Roman"/>
        <family val="1"/>
      </rPr>
      <t xml:space="preserve">Lãnh đạo, chỉ đạo, điều hành, tổ chức thực hiện hiệu quả nghị quyết, chỉ thị, kết luận, quy định, hướng dẫn của Trung ương và cấp trên.
- Chủ động xây dựng và lãnh đạo, chỉ đạo thực hiện có hiệu quả kế hoạch, chương trình công tác, đề án, quy chế, quy định thuộc lĩnh vực phụ trách gắn với kế hoạch, chương trình công tác và tình hình thực tiễn của tổ chức, cơ quan, đơn vị.
- Phân tích, tổng hợp, đánh giá và tham mưu cấp uỷ ban hành các văn bản theo lĩnh vực công tác đạt yêu cầu về nội dung, hình thức và tiến độ; 
</t>
    </r>
    <r>
      <rPr>
        <sz val="11"/>
        <color rgb="FF000000"/>
        <rFont val="Times New Roman"/>
        <family val="1"/>
      </rPr>
      <t>- Các nội dung khác (nếu có)</t>
    </r>
  </si>
  <si>
    <r>
      <rPr>
        <b/>
        <sz val="11"/>
        <color rgb="FF000000"/>
        <rFont val="Times New Roman"/>
        <family val="1"/>
      </rPr>
      <t xml:space="preserve">Trục (2) - HOÀN THIỆN THỂ CHẾ, ĐẨY MẠNH PHÂN CẤP, PHÂN QUYỀN GẮN VỚI KIỂM TRA, GIÁM SÁT </t>
    </r>
    <r>
      <rPr>
        <b/>
        <sz val="11"/>
        <color rgb="FF0000CC"/>
        <rFont val="Times New Roman"/>
        <family val="1"/>
      </rPr>
      <t>(15 ĐIỂM)</t>
    </r>
    <r>
      <rPr>
        <sz val="11"/>
        <color rgb="FF000000"/>
        <rFont val="Times New Roman"/>
        <family val="1"/>
      </rPr>
      <t xml:space="preserve">
- Ban hành kế hoạch, chương trình hành động thực hiện các nghị quyết, chỉ thị, kết luận theo phân cấp
- Triển khai, quán triệt chính sách phân cấp
- Giám sát thực hiện phân quyền
- </t>
    </r>
    <r>
      <rPr>
        <sz val="11"/>
        <color rgb="FF0000CC"/>
        <rFont val="Times New Roman"/>
        <family val="1"/>
      </rPr>
      <t xml:space="preserve">Hướng dẫn và tổ chức kiểm tra, giám sát việc thực hiện nhiệm vụ theo lĩnh vực được phân công, góp phần ngăn ngừa khuyết điểm, vi phạm, kịp thời phát hiện và xử lý các vấn đề phát sinh (nếu có);
- Xử lý điểm nghẽn thể chế, cải cách hành chính: Có sáng kiến/giải pháp cụ thể được cấp có thẩm quyền ghi nhận; 
</t>
    </r>
    <r>
      <rPr>
        <sz val="11"/>
        <color rgb="FF000000"/>
        <rFont val="Times New Roman"/>
        <family val="1"/>
      </rPr>
      <t>- Tỉ lệ hồ sơ giải quyết đúng hạn;
- Giải quyết 100% đơn, thư thuộc trách nhiệm, không để vượt cấp, phát sinh kéo dài;
- Nội dung khác (nếu có)</t>
    </r>
  </si>
  <si>
    <r>
      <rPr>
        <b/>
        <sz val="11"/>
        <color rgb="FF0000CC"/>
        <rFont val="Times New Roman"/>
        <family val="1"/>
      </rPr>
      <t>Trục (3) - THÚC ĐẨY PHÁT TRIỂN KHOA HỌC, CÔNG NGHỆ, ĐỔI MỚI SÁNG TẠO VÀ CHUYỂN ĐỔI SỐ (10 ĐIỂM)</t>
    </r>
    <r>
      <rPr>
        <sz val="11"/>
        <color rgb="FF0000CC"/>
        <rFont val="Times New Roman"/>
        <family val="1"/>
      </rPr>
      <t xml:space="preserve">
- Tổ chức thực hiện hiệu quả Nghị quyết 57-NQ/TW 
ngày 22/12/2024 của Bộ Chính trị;
- Triển khai chương trình, đề án chuyển đổi số;
- Sử dụng thành thạo hệ thống quản lý điều hành văn bản và các phần mềm khác trong công tác đảng;
- Ứng dụng khoa học công nghệ, đổi mới sáng tạo trong quản lý hành chính tại cơ quan, đơn vị
- Các nội dung khác (nếu có)</t>
    </r>
  </si>
  <si>
    <r>
      <rPr>
        <b/>
        <sz val="11"/>
        <color rgb="FF000000"/>
        <rFont val="Times New Roman"/>
        <family val="1"/>
      </rPr>
      <t xml:space="preserve">Trục (4) - XÂY DỰNG ĐẢNG VÀ HỆ THỐNG CHÍNH TRỊ TRONG SẠCH, VỮNG MẠNH; GIỮ GÌN ĐOÀN KẾT, THỐNG NHẤT NỘI BỘ; PHÒNG, CHỐNG THAM NHŨNG, LÃNG PHÍ, TIÊU CỰC </t>
    </r>
    <r>
      <rPr>
        <b/>
        <sz val="11"/>
        <color rgb="FF0000CC"/>
        <rFont val="Times New Roman"/>
        <family val="1"/>
      </rPr>
      <t>(20 ĐIỂM)</t>
    </r>
    <r>
      <rPr>
        <sz val="11"/>
        <color rgb="FF000000"/>
        <rFont val="Times New Roman"/>
        <family val="1"/>
      </rPr>
      <t xml:space="preserve">
- Xây dựng, củng cố TCCSĐ (thành lập mới, sắp xếp, kiện toàn các tổ chức đảng)
- Tỷ lệ kết nạp đảng viên mới
- Triển khai sinh hoạt, quán triệt định kỳ
- Việc sắp xếp, tinh gọn tổ chức bộ máy và vận hành mô hình chính quyền 02 cấp hoạt động hiệu năng, hiệu lực, hiệu quả;
</t>
    </r>
    <r>
      <rPr>
        <sz val="11"/>
        <color rgb="FF0000CC"/>
        <rFont val="Times New Roman"/>
        <family val="1"/>
      </rPr>
      <t xml:space="preserve">- Thẩm định, thẩm tra các nghị quyết, chính sách, giải pháp của cấp ủy về công tác xây dựng Đảng, xây dựng hệ thống chính trị và các nhiệm vụ chính trị được giao bảo đảm chất lượng, đúng quy định, không để xảy ra sai sót;
- Chủ động phát hiện, đề xuất các giải pháp đổi mới, tổng kết thực tiễn phù hợp với đường lối, chủ trương của Đảng và tình hình địa phương, tổ chức, cơ quan, đơn vị.
- Phối hợp chặt chẽ, hài hoà, hiệu quả mối quan hệ công  tác giữa các ban đảng, cơ quan nhà nước, Mặt trận Tổ quốc và các tổ chức chính trị - xã hội; giữa Trung ương và địa phương. Phối hợp giữa các đơn vị, địa bàn được giao phụ trách bảo đảm thống nhất, hiệu quả. 
- Tham gia xây dựng đoàn kết nội bộ của cơ quan, vụ, đơn vị phụ trách vững mạnh, không để xảy ra mất đoàn kết.
</t>
    </r>
    <r>
      <rPr>
        <sz val="11"/>
        <color rgb="FF000000"/>
        <rFont val="Times New Roman"/>
        <family val="1"/>
      </rPr>
      <t>- Các nội dung khác (nếu có)</t>
    </r>
  </si>
  <si>
    <r>
      <rPr>
        <b/>
        <sz val="11"/>
        <color rgb="FF000000"/>
        <rFont val="Times New Roman"/>
        <family val="1"/>
      </rPr>
      <t>Trục (5) - PHÁT TRIỂN VĂN HÓA, CON NGƯỜI, BẢO ĐẢM AN SINH XÃ HỘI, NÂNG CAO ĐỜI SỐNG NHÂN DÂN (10 ĐIỂM)</t>
    </r>
    <r>
      <rPr>
        <sz val="11"/>
        <color rgb="FF000000"/>
        <rFont val="Times New Roman"/>
        <family val="1"/>
      </rPr>
      <t xml:space="preserve">
</t>
    </r>
    <r>
      <rPr>
        <sz val="11"/>
        <color rgb="FF0000CC"/>
        <rFont val="Times New Roman"/>
        <family val="1"/>
      </rPr>
      <t xml:space="preserve">- Chỉ đạo thực hiện chế độ, chính sách đối với cán bộ thuộc phạm vi quản lý, không để xảy ra sai sót, phản ánh, khiếu nại. 
</t>
    </r>
    <r>
      <rPr>
        <sz val="11"/>
        <color rgb="FF000000"/>
        <rFont val="Times New Roman"/>
        <family val="1"/>
      </rPr>
      <t>- Thực hiện chính sách đối với người có công, đối tượng bảo trợ xã hội, giảm nghèo bền vững
- Xây dựng nông thôn mới,
- Bảo tồn, phát huy giá trị di sản, bản sắc văn hóa dân tộc
- Các nội dung khác (nếu có)</t>
    </r>
  </si>
  <si>
    <r>
      <rPr>
        <b/>
        <sz val="11"/>
        <color rgb="FF000000"/>
        <rFont val="Times New Roman"/>
        <family val="1"/>
      </rPr>
      <t>Trục (6) - CỦNG CỐ QUỐC PHÒNG, AN NINH, GIỮ VỮNG ỔN ĐỊNH CHÍNH TRỊ - XÃ HỘI, NÂNG CAO HIỆU QUẢ ĐỐI NGOẠI VÀ HỘI NHẬP QUỐC TẾ</t>
    </r>
    <r>
      <rPr>
        <b/>
        <sz val="11"/>
        <color rgb="FF0000CC"/>
        <rFont val="Times New Roman"/>
        <family val="1"/>
      </rPr>
      <t xml:space="preserve"> (05 ĐIỂM)</t>
    </r>
    <r>
      <rPr>
        <sz val="11"/>
        <color rgb="FF000000"/>
        <rFont val="Times New Roman"/>
        <family val="1"/>
      </rPr>
      <t xml:space="preserve">
- </t>
    </r>
    <r>
      <rPr>
        <sz val="11"/>
        <color rgb="FF0000CC"/>
        <rFont val="Times New Roman"/>
        <family val="1"/>
      </rPr>
      <t xml:space="preserve">Khả năng điều phối, xử lý hiệu quả các tình huống phức tạp, điểm nóng.
</t>
    </r>
    <r>
      <rPr>
        <sz val="11"/>
        <color rgb="FF000000"/>
        <rFont val="Times New Roman"/>
        <family val="1"/>
      </rPr>
      <t>- Giữ vững an ninh chính trị, trật tự an toàn xã hội; không để hình thành "điểm nóng", bị động, bất ngờ
- Bảo đảm an ninh biên giới, an ninh kinh tế, an ninh mạng, an ninh tôn giáo, dân tộc
- Các nội dung khác (nếu có)</t>
    </r>
  </si>
  <si>
    <t xml:space="preserve">TỔNG (B) = </t>
  </si>
  <si>
    <t>XÁC NHẬN BAN TỔ CHỨC THÀNH ỦY</t>
  </si>
  <si>
    <r>
      <rPr>
        <b/>
        <sz val="16"/>
        <rFont val="Times New Roman"/>
        <family val="1"/>
      </rPr>
      <t xml:space="preserve">BẢNG TÍNH ĐIỂM KPI 
</t>
    </r>
    <r>
      <rPr>
        <b/>
        <i/>
        <sz val="16"/>
        <color rgb="FFFF0000"/>
        <rFont val="Times New Roman"/>
        <family val="1"/>
      </rPr>
      <t>(Cách 3: chia nhỏ 6 trục, tính KPI trên điểm từng trục tại phần II, Bản tự đánh giá cá nhân
KPI từng sản phẩm =Điểm chuẩn (10% Số lượng %+20% Tiến độ %+60% Chất lượng%+10% Lãnh đạo, điều hành %))</t>
    </r>
  </si>
  <si>
    <t>Số lượng
%</t>
  </si>
  <si>
    <t>Chất lượng
%</t>
  </si>
  <si>
    <t>Lãnh đạo, chỉ đạo, điều hành
%</t>
  </si>
  <si>
    <r>
      <rPr>
        <b/>
        <sz val="12"/>
        <rFont val="Times New Roman"/>
        <family val="1"/>
      </rPr>
      <t xml:space="preserve">(3)
</t>
    </r>
    <r>
      <rPr>
        <sz val="12"/>
        <rFont val="Times New Roman"/>
        <family val="1"/>
      </rPr>
      <t xml:space="preserve">= </t>
    </r>
    <r>
      <rPr>
        <i/>
        <sz val="12"/>
        <rFont val="Times New Roman"/>
        <family val="1"/>
      </rPr>
      <t>Điểm chuẩn của công việc được xác định tại Danh mục Sản phẩm chuẩn</t>
    </r>
  </si>
  <si>
    <r>
      <rPr>
        <b/>
        <sz val="12"/>
        <rFont val="Times New Roman"/>
        <family val="1"/>
      </rPr>
      <t xml:space="preserve">(4)
</t>
    </r>
    <r>
      <rPr>
        <sz val="12"/>
        <rFont val="Times New Roman"/>
        <family val="1"/>
      </rPr>
      <t xml:space="preserve">= </t>
    </r>
    <r>
      <rPr>
        <i/>
        <sz val="12"/>
        <rFont val="Times New Roman"/>
        <family val="1"/>
      </rPr>
      <t>HSĐK của công việc được xác định tại Danh mục Sản phẩm chuẩn</t>
    </r>
  </si>
  <si>
    <r>
      <rPr>
        <b/>
        <sz val="12"/>
        <rFont val="Times New Roman"/>
        <family val="1"/>
      </rPr>
      <t xml:space="preserve">(5)
</t>
    </r>
    <r>
      <rPr>
        <i/>
        <sz val="12"/>
        <rFont val="Times New Roman"/>
        <family val="1"/>
      </rPr>
      <t>Căn cứ số lượng sản phẩm hoàn thành
+ Hoàn thành đủ số lượng: 100%;
+ Không đủ số lượng: 0%.</t>
    </r>
  </si>
  <si>
    <r>
      <rPr>
        <b/>
        <sz val="12"/>
        <rFont val="Times New Roman"/>
        <family val="1"/>
      </rPr>
      <t xml:space="preserve">(6) </t>
    </r>
    <r>
      <rPr>
        <i/>
        <sz val="12"/>
        <rFont val="Times New Roman"/>
        <family val="1"/>
      </rPr>
      <t>Căn cứ theo thời hạn hoàn thành
+ Hoàn thành đúng hoặc trước hạn: 100%;
+ Hoàn thành chậm 1–  3 ngày làm việc: 80%;
+ Hoàn thành chậm 4 – 5  ngày làm việc: 60%;
+ Hoàn thành chậm trên 5 ngày làm việc: 0%.</t>
    </r>
    <r>
      <rPr>
        <b/>
        <sz val="12"/>
        <rFont val="Times New Roman"/>
        <family val="1"/>
      </rPr>
      <t xml:space="preserve">
</t>
    </r>
  </si>
  <si>
    <r>
      <rPr>
        <b/>
        <sz val="12"/>
        <rFont val="Times New Roman"/>
        <family val="1"/>
      </rPr>
      <t xml:space="preserve">(7) </t>
    </r>
    <r>
      <rPr>
        <i/>
        <sz val="12"/>
        <rFont val="Times New Roman"/>
        <family val="1"/>
      </rPr>
      <t>Căn cứ chất lượng sản phẩm
+ Đạt đầy đủ yêu cầu: 100%;
+ Đạt yêu cầu, chỉnh sửa nhỏ: 80%;
+ Hoàn thành cơ bản: 60%;
+ Không đạt yêu cầu: 0%.</t>
    </r>
  </si>
  <si>
    <r>
      <rPr>
        <b/>
        <sz val="12"/>
        <rFont val="Times New Roman"/>
        <family val="1"/>
      </rPr>
      <t xml:space="preserve">(8) </t>
    </r>
    <r>
      <rPr>
        <i/>
        <sz val="12"/>
        <rFont val="Times New Roman"/>
        <family val="1"/>
      </rPr>
      <t>= {(5)+(6)+(7)}/3</t>
    </r>
  </si>
  <si>
    <r>
      <rPr>
        <b/>
        <sz val="12"/>
        <rFont val="Times New Roman"/>
        <family val="1"/>
      </rPr>
      <t xml:space="preserve">(9)
</t>
    </r>
    <r>
      <rPr>
        <sz val="12"/>
        <rFont val="Times New Roman"/>
        <family val="1"/>
      </rPr>
      <t>= (3) * (10% (5)+20% (6)+60% (7)+10% (8))</t>
    </r>
  </si>
  <si>
    <r>
      <rPr>
        <b/>
        <sz val="12"/>
        <rFont val="Times New Roman"/>
        <family val="1"/>
      </rPr>
      <t xml:space="preserve">(10)
</t>
    </r>
    <r>
      <rPr>
        <sz val="12"/>
        <rFont val="Times New Roman"/>
        <family val="1"/>
      </rPr>
      <t>= (9)*(4)</t>
    </r>
  </si>
  <si>
    <r>
      <rPr>
        <sz val="13"/>
        <rFont val="Times New Roman"/>
        <family val="1"/>
      </rPr>
      <t xml:space="preserve">Công văn số 1506-CV/BTCTU ngày 23/4/2026 rà soát các khoản chi thường xuyên để điều chỉnh dự toán ngân sách nhà nước năm 2026 (Công văn số 2846-CV/VPTU ngày 17/4/2026)
</t>
    </r>
    <r>
      <rPr>
        <i/>
        <sz val="13"/>
        <color rgb="FFFF0000"/>
        <rFont val="Times New Roman"/>
        <family val="1"/>
      </rPr>
      <t>(trước hạn, đạt đầy đủ yêu cầu)</t>
    </r>
  </si>
  <si>
    <r>
      <rPr>
        <b/>
        <i/>
        <sz val="13"/>
        <rFont val="Times New Roman"/>
        <family val="1"/>
      </rPr>
      <t xml:space="preserve">KPI % (trục 1) = B/A </t>
    </r>
    <r>
      <rPr>
        <i/>
        <sz val="13"/>
        <rFont val="Times New Roman"/>
        <family val="1"/>
      </rPr>
      <t>(nếu không có nhiệm vụ thì KPI được trọn 100%)</t>
    </r>
    <r>
      <rPr>
        <b/>
        <i/>
        <sz val="13"/>
        <rFont val="Times New Roman"/>
        <family val="1"/>
      </rPr>
      <t xml:space="preserve"> </t>
    </r>
  </si>
  <si>
    <r>
      <rPr>
        <b/>
        <i/>
        <sz val="13"/>
        <rFont val="Times New Roman"/>
        <family val="1"/>
      </rPr>
      <t xml:space="preserve">KPI % (trục 2) = B/A </t>
    </r>
    <r>
      <rPr>
        <i/>
        <sz val="13"/>
        <rFont val="Times New Roman"/>
        <family val="1"/>
      </rPr>
      <t>(nếu không có nhiệm vụ thì KPI được trọn 100%)</t>
    </r>
    <r>
      <rPr>
        <b/>
        <i/>
        <sz val="13"/>
        <rFont val="Times New Roman"/>
        <family val="1"/>
      </rPr>
      <t xml:space="preserve"> </t>
    </r>
  </si>
  <si>
    <r>
      <rPr>
        <sz val="13"/>
        <rFont val="Times New Roman"/>
        <family val="1"/>
      </rPr>
      <t xml:space="preserve">Công văn số 1461-CV/BTCTU ngày 20/4/2026 về khai thác dữ liệu văn bản điện tử không mật của Thành phố Hồ Chí Minh (cũ), Tỉnh Bình Dương, Tỉnh Bà Rịa - Vũng Tàu trước sáp nhập (Công văn số 2519-CV/VPTU ngày 30/3/2026)
</t>
    </r>
    <r>
      <rPr>
        <i/>
        <sz val="13"/>
        <color rgb="FFFF0000"/>
        <rFont val="Times New Roman"/>
        <family val="1"/>
      </rPr>
      <t>(trước hạn, đạt yêu cầu, chỉnh sửa nhỏ)</t>
    </r>
  </si>
  <si>
    <r>
      <rPr>
        <b/>
        <i/>
        <sz val="13"/>
        <rFont val="Times New Roman"/>
        <family val="1"/>
      </rPr>
      <t xml:space="preserve">KPI % (trục 3) = B/A </t>
    </r>
    <r>
      <rPr>
        <i/>
        <sz val="13"/>
        <rFont val="Times New Roman"/>
        <family val="1"/>
      </rPr>
      <t>(nếu không có nhiệm vụ thì KPI được trọn 100%)</t>
    </r>
    <r>
      <rPr>
        <b/>
        <i/>
        <sz val="13"/>
        <rFont val="Times New Roman"/>
        <family val="1"/>
      </rPr>
      <t xml:space="preserve"> </t>
    </r>
  </si>
  <si>
    <r>
      <rPr>
        <sz val="13"/>
        <color rgb="FF000000"/>
        <rFont val="Times New Roman"/>
        <family val="1"/>
      </rPr>
      <t xml:space="preserve">Kế hoạch số 54-KH/TU ngày 06/4/2026 rà soát, bổ sung quy hoạch nguồn Thành ủy khóa I và cán bộ lãnh đạo, quản lý thuộc Thành ủy khóa I, nhiệm kỳ 2025-2030
</t>
    </r>
    <r>
      <rPr>
        <i/>
        <sz val="13"/>
        <color rgb="FFFF0000"/>
        <rFont val="Times New Roman"/>
        <family val="1"/>
      </rPr>
      <t>(trễ hạn &gt;=5 ngày, đạt yêu cầu, chỉnh sửa nhỏ)</t>
    </r>
  </si>
  <si>
    <r>
      <rPr>
        <sz val="13"/>
        <rFont val="Times New Roman"/>
        <family val="1"/>
      </rPr>
      <t xml:space="preserve">Công văn số 1410-CV/BTCTU ngày 14/4/2026 hỗ trợ, cung cấp thông tin quy hoạch các cá nhân thuộc diện Ban Thường vụ Thành ủy quản lý (Công văn số 1706/TTTP-TCCB ngày 09/4/2026 của Thanh tra Thành phố)
</t>
    </r>
    <r>
      <rPr>
        <b/>
        <i/>
        <sz val="13"/>
        <color rgb="FFFF0000"/>
        <rFont val="Times New Roman"/>
        <family val="1"/>
      </rPr>
      <t>(trễ hạn &gt;=5 ngày, đạt đầy đủ yêu cầu )</t>
    </r>
  </si>
  <si>
    <r>
      <rPr>
        <sz val="13"/>
        <rFont val="Times New Roman"/>
        <family val="1"/>
      </rPr>
      <t xml:space="preserve">Công văn số 294-CV/TU ngày 22/4/2026 triển khai Kết luận số 12-KL/TW, ngày 19/3/2026 của Bộ Chính trị về kết quả kiểm điểm, đánh giá, xếp loại chất lượng đối với tập thể, cá nhân ban thường vụ các tỉnh ủy, thành ủy, đảng ủy trực thuộc Trung ương; tập thể, cá nhân cán bộ lãnh đạo, quản lý các cơ quan, đơn vị ở Trung ương năm 2025 (Phiếu chuyển số 410-PC/VPTU ngày 27/3/2026)
</t>
    </r>
    <r>
      <rPr>
        <i/>
        <sz val="13"/>
        <color rgb="FFFF0000"/>
        <rFont val="Times New Roman"/>
        <family val="1"/>
      </rPr>
      <t>(trước hạn, đạt đầy đủ yêu cầu)</t>
    </r>
  </si>
  <si>
    <r>
      <rPr>
        <sz val="13"/>
        <rFont val="Times New Roman"/>
        <family val="1"/>
      </rPr>
      <t xml:space="preserve">Công văn số 251-CV/TU ngày 31/3/2026 chỉ đạo tiến hành rà soát, đánh giá tổng thể về số lượng, chất lượng đội ngũ cán bộ cơ sở, tổng hợp báo cáo Ban Thường vụ Thành ủy chất lượng đội ngũ cán bộ cơ sở 
</t>
    </r>
    <r>
      <rPr>
        <i/>
        <sz val="13"/>
        <color rgb="FFFF0000"/>
        <rFont val="Times New Roman"/>
        <family val="1"/>
      </rPr>
      <t>(trước hạn, đạt đầy đủ yêu cầu)</t>
    </r>
  </si>
  <si>
    <r>
      <rPr>
        <sz val="13"/>
        <rFont val="Times New Roman"/>
        <family val="1"/>
      </rPr>
      <t xml:space="preserve">Công văn số 295-CV/TU ngày 22/4/2026 thực hiện Kết luận số 16-KL/TW, ngày 31/3/2026 của Bộ Chính trị, Ban Bí thư về thực hiện một số nội dung, nhiệm vụ trọng tâm hoạt động của tổ chức cơ sở đảng trong quý II năm 2026 (Phiếu chuyển số 473-PC/VPTU ngay 03/4/2026)
</t>
    </r>
    <r>
      <rPr>
        <i/>
        <sz val="13"/>
        <color rgb="FFFF0000"/>
        <rFont val="Times New Roman"/>
        <family val="1"/>
      </rPr>
      <t>(trễ hạn 4-5 ngày, đạt đầy đủ yêu cầu)</t>
    </r>
  </si>
  <si>
    <r>
      <rPr>
        <sz val="13"/>
        <rFont val="Times New Roman"/>
        <family val="1"/>
      </rPr>
      <t xml:space="preserve">Kế hoạch số 62-KH/TU ngày 22/4/2026 tổ chức tiếp Đoàn khảo sát về công tác xây dựng, chỉnh đốn Đảng và hệ thống chính trị; củng cố, nâng cao chất lượng tổ chức đảng và đội ngũ đảng viên (Kế hoạch số 21-KH/BTCTTW ngày 15/4/2026, Phiếu chuyển 559-PC/VPTU ngày 16/4/2026)
</t>
    </r>
    <r>
      <rPr>
        <i/>
        <sz val="13"/>
        <color rgb="FFFF0000"/>
        <rFont val="Times New Roman"/>
        <family val="1"/>
      </rPr>
      <t>(đúng hạn, đạt đầy đủ yêu cầu)</t>
    </r>
  </si>
  <si>
    <r>
      <rPr>
        <sz val="13"/>
        <rFont val="Times New Roman"/>
        <family val="1"/>
      </rPr>
      <t xml:space="preserve">Nghị quyết số 09-NQ/TU ngày 14/4/42026 của Ban Thường vụ Thành ủy về giải pháp nâng cao chất lượng cán bộ cơ sở; bảo đảm mọi giải pháp đều có cơ chế theo dõi, kiểm tra, phản hồi và chịu trách nhiệm  (Công văn số 251-CV/TU ngày 31/3/2026)
</t>
    </r>
    <r>
      <rPr>
        <i/>
        <sz val="13"/>
        <color rgb="FFFF0000"/>
        <rFont val="Times New Roman"/>
        <family val="1"/>
      </rPr>
      <t>(đúng hạn, đạt đầy đủ yêu cầu)</t>
    </r>
  </si>
  <si>
    <r>
      <rPr>
        <sz val="13"/>
        <rFont val="Times New Roman"/>
        <family val="1"/>
      </rPr>
      <t xml:space="preserve">Quyết định số 790-QĐ/TU ngày 22/4/2026 tham mưu cử cán bộ đi nghiên cứu, khảo sát tại Trung Quốc (Công văn số 508-CV/BTCTW ngày 03/4/2026, Phiếu chuyển 482-PC/VPTU ngày 06/4/2026)
</t>
    </r>
    <r>
      <rPr>
        <i/>
        <sz val="13"/>
        <color rgb="FFFF0000"/>
        <rFont val="Times New Roman"/>
        <family val="1"/>
      </rPr>
      <t>(đúng hạn, đạt yêu cầu, chỉnh sửa nhỏ)</t>
    </r>
  </si>
  <si>
    <r>
      <rPr>
        <sz val="13"/>
        <rFont val="Times New Roman"/>
        <family val="1"/>
      </rPr>
      <t xml:space="preserve">Tờ trình số 539-TTr/BTCTU ngày 21/4/2026 về cử cán bộ tham gia khóa bồi dưỡng ngắn hạn tại Nhật Bản (Công văn số 10-CV/BCĐ ngày 31/3/2026 của Ban Chỉ đạo các chương trình đào tạo, bồi dưỡng nước ngoài Trung ương)
</t>
    </r>
    <r>
      <rPr>
        <i/>
        <sz val="13"/>
        <color rgb="FFFF0000"/>
        <rFont val="Times New Roman"/>
        <family val="1"/>
      </rPr>
      <t>(đúng hạn, đạt đầy đủ yêu cầu)</t>
    </r>
  </si>
  <si>
    <r>
      <rPr>
        <sz val="13"/>
        <rFont val="Times New Roman"/>
        <family val="1"/>
      </rPr>
      <t xml:space="preserve">Công văn số 1441-CV/BTCTU ngày 17/4/2026 hướng dẫn rà soát, quy hoạch cán bộ năm 2026 đối với người giữ chức danh, chức vụ quản lý trong doanh nghiệp do Nhà nước nắm giữ 100% vốn điều lệ thuộc Ủy ban nhân dân Thành phố (Công văn số 5812/SNV ngày 09/4/2026
</t>
    </r>
    <r>
      <rPr>
        <i/>
        <sz val="13"/>
        <color rgb="FFFF0000"/>
        <rFont val="Times New Roman"/>
        <family val="1"/>
      </rPr>
      <t>(trước hạn, đạt đầy đủ yêu cầu)</t>
    </r>
  </si>
  <si>
    <r>
      <rPr>
        <sz val="13"/>
        <rFont val="Times New Roman"/>
        <family val="1"/>
      </rPr>
      <t xml:space="preserve">Công văn số 1496-CV/BTCTU ngày 22/4/2026 báo cáo kinh phí mua vé máy bay đi công tác nước ngoài cho một số chức danh lãnh đạo của Thành phố (Công văn số 2731-CV/VPTU ngày 10/4/2026)
</t>
    </r>
    <r>
      <rPr>
        <i/>
        <sz val="13"/>
        <color rgb="FFFF0000"/>
        <rFont val="Times New Roman"/>
        <family val="1"/>
      </rPr>
      <t>(đúng hạn, đạt đầy đủ yêu cầu)</t>
    </r>
  </si>
  <si>
    <r>
      <rPr>
        <sz val="13"/>
        <rFont val="Times New Roman"/>
        <family val="1"/>
      </rPr>
      <t xml:space="preserve">Công văn số 1459-CV/BTCTU ngày 20/4/2026 cử cán bộ tham gia Đoàn kiểm tra việc lãnh đạo, chỉ đạo và tổ chức thực hiện Kết luận số 89-KL/TW (Công văn số 1234-CV/BTGDVTU ngày 16 tháng 4 năm 2026)
</t>
    </r>
    <r>
      <rPr>
        <i/>
        <sz val="13"/>
        <color rgb="FFFF0000"/>
        <rFont val="Times New Roman"/>
        <family val="1"/>
      </rPr>
      <t>(trễ hạn &gt;=5 ngày, đạt đầy đủ yêu cầu)</t>
    </r>
  </si>
  <si>
    <r>
      <rPr>
        <sz val="13"/>
        <rFont val="Times New Roman"/>
        <family val="1"/>
      </rPr>
      <t xml:space="preserve">Công văn số 1496-CV/BTCTU ngày 22/4/2026 báo cáo kinh phí mua vé máy bay đi công tác nước ngoài cho một số chức danh lãnh đạo của Thành phố (Công văn số 2731-CV/VPTU ngày 10/4/2026)
</t>
    </r>
    <r>
      <rPr>
        <i/>
        <sz val="13"/>
        <color rgb="FFFF0000"/>
        <rFont val="Times New Roman"/>
        <family val="1"/>
      </rPr>
      <t>(đúng hạn, đạt đầy đủ yêu cầu)</t>
    </r>
  </si>
  <si>
    <r>
      <rPr>
        <sz val="13"/>
        <rFont val="Times New Roman"/>
        <family val="1"/>
      </rPr>
      <t xml:space="preserve">Công văn số 340-CV/TU ngày 21/5/2026 góp ý các dự thảo quy định của Ban Bí thư về chức năng, nhiệm vụ, tổ chức bộ máy, mối quan hệ công tác của tổ chức đảng trong các cơ sở giáo dục đại học công lập theo Công văn số 788-CV/BTCTW ngày 05/5/2026 (Công văn số 3176-CV/VPTU ngày 06/5/2026)
</t>
    </r>
    <r>
      <rPr>
        <i/>
        <sz val="13"/>
        <color rgb="FFFF0000"/>
        <rFont val="Times New Roman"/>
        <family val="1"/>
      </rPr>
      <t>(trước hạn, đạt đầy đủ yêu cầu)</t>
    </r>
  </si>
  <si>
    <r>
      <rPr>
        <sz val="13"/>
        <rFont val="Times New Roman"/>
        <family val="1"/>
      </rPr>
      <t xml:space="preserve">Tham mưu góp ý hồ sơ dự thảo quyết định của UBND Thành phố ban hành quy định về kiểm điểm, dánh giá, xếp loại chất lượng đối với cơ quan hành chính Nhà nước và công chức trên địa bàn TPHCM
</t>
    </r>
    <r>
      <rPr>
        <i/>
        <sz val="13"/>
        <color rgb="FFFF0000"/>
        <rFont val="Times New Roman"/>
        <family val="1"/>
      </rPr>
      <t>(đúng hạn, đạt đầy đủ yêu cầu)</t>
    </r>
  </si>
  <si>
    <r>
      <rPr>
        <sz val="13"/>
        <rFont val="Times New Roman"/>
        <family val="1"/>
      </rPr>
      <t xml:space="preserve">Công văn số 337-CV/TU ngày 19/5/2026 góp ý dự thảo Hướng dẫn nội dung chương trình bồi dưỡng thuộc chức năng, nhiệm vụ của trường chính trị giai đoạn 2026-2030 theo Công văn số 901-CV/HVCTQG ngày 04/5/2026 (Phiếu chuyển số 664-PC/VPTU ngày 05/5/2026)
</t>
    </r>
    <r>
      <rPr>
        <i/>
        <sz val="13"/>
        <color rgb="FFFF0000"/>
        <rFont val="Times New Roman"/>
        <family val="1"/>
      </rPr>
      <t>(đúng hạn, đạt đầy đủ yêu cầu)</t>
    </r>
  </si>
  <si>
    <r>
      <rPr>
        <sz val="13"/>
        <rFont val="Times New Roman"/>
        <family val="1"/>
      </rPr>
      <t xml:space="preserve">Công văn số 333-CV/TU ngày 18/5/2026 góp ý dự thảo Kết luận của Ban Bí thư về tiếp tục thực hiện Chỉ thị số 33-CT/TW, ngày 18/3/2019 của Ban Bí thư về tăng cường xây dựng tổ chức đảng trong các đơn vị kinh tế tư nhân (Phiếu chuyển số 727-PC/VPTU ngày 13/5/2026)
</t>
    </r>
    <r>
      <rPr>
        <i/>
        <sz val="13"/>
        <color rgb="FFFF0000"/>
        <rFont val="Times New Roman"/>
        <family val="1"/>
      </rPr>
      <t>(trễ hạn 4 ngày, đạt đầy đủ yêu cầu)</t>
    </r>
  </si>
  <si>
    <r>
      <rPr>
        <sz val="13"/>
        <rFont val="Times New Roman"/>
        <family val="1"/>
      </rPr>
      <t xml:space="preserve">Công văn số 340-CV/TU ngày 21/5/2026 góp ý dự thảo Quy phối hợp công tác giữa đảng ủy bộ, ngành Trung ương với cấp ủy cấp trên trực tiếp của tổ chức đảng trong cơ sở giáo dục đại học công lập (Công văn số 871-CV/BTCTW ngày 12/5/2026 của Ban Tổ chức Trung ương)
</t>
    </r>
    <r>
      <rPr>
        <i/>
        <sz val="13"/>
        <color rgb="FFFF0000"/>
        <rFont val="Times New Roman"/>
        <family val="1"/>
      </rPr>
      <t>(trước hạn, đạt đầy đủ yêu cầu)</t>
    </r>
  </si>
  <si>
    <r>
      <rPr>
        <sz val="13"/>
        <rFont val="Times New Roman"/>
        <family val="1"/>
      </rPr>
      <t xml:space="preserve">Quyết định số 821-QĐ/TU ngày 22/5/2026 tạm giao biên chế năm 2026 của Khối Đảng, Cơ quan Mặt trận Tổ quốc Việt Nam Thành phố; khối Đảng, cơ quan Ủy ban Mặt trận Tổ quốc Việt Nam xã, phường, đặc khu năm 2026 để tiếp nhận một số cán bộ không chuyên trách đủ điều kiện vào công chức
</t>
    </r>
    <r>
      <rPr>
        <i/>
        <sz val="13"/>
        <color rgb="FFFF0000"/>
        <rFont val="Times New Roman"/>
        <family val="1"/>
      </rPr>
      <t>(trễ hạn 3ngày, đạt yêu cầu, chỉnh sửa nhỏ)</t>
    </r>
  </si>
  <si>
    <r>
      <rPr>
        <sz val="13"/>
        <rFont val="Times New Roman"/>
        <family val="1"/>
      </rPr>
      <t xml:space="preserve">Công văn số 1771-CV/BTCTU ngày 18/5/2026 Hướng dẫn xây dựng Đề án vị trí việc làm công chức, viên chức
</t>
    </r>
    <r>
      <rPr>
        <i/>
        <sz val="13"/>
        <color rgb="FFFF0000"/>
        <rFont val="Times New Roman"/>
        <family val="1"/>
      </rPr>
      <t>(trễ hạn 1 ngày, đạt đầy đủ yêu cầu)</t>
    </r>
  </si>
  <si>
    <r>
      <rPr>
        <sz val="13"/>
        <rFont val="Times New Roman"/>
        <family val="1"/>
      </rPr>
      <t xml:space="preserve">Tờ trình số 648-TTr/BTCTU ngày 24/5/2026 báo cáo chuyên đề những điểm mới, mô hình, sáng kiến, cách làm hiệu quả, kết quả nổi bật của TP.HCM sau 1 năm vận hành chính quyền địa phương 2 cấp; đề xuất, kiến nghị (Công văn số 341-CV/TU ngày 21/5/2026)
</t>
    </r>
    <r>
      <rPr>
        <i/>
        <sz val="13"/>
        <color rgb="FFFF0000"/>
        <rFont val="Times New Roman"/>
        <family val="1"/>
      </rPr>
      <t>(đúng hạn, đạt đầy đủ yêu cầu)</t>
    </r>
  </si>
  <si>
    <r>
      <rPr>
        <sz val="13"/>
        <rFont val="Times New Roman"/>
        <family val="1"/>
      </rPr>
      <t xml:space="preserve">Tờ trình số 648-TTr/BTCTU ngày 24/5/2026
Tờ trình số 6454TTr/BTCTU ngày 27/5/2026 về dự thảo Báo cáo của Ban Thường vụ Thành ủy về sơ kết 01 năm vận hành bộ máy của hệ thống chính trị và chính quyền địa phương 2 (Kế hoạch số 73-KH/TU ngày 19/5/2026)
</t>
    </r>
    <r>
      <rPr>
        <i/>
        <sz val="13"/>
        <color rgb="FFFF0000"/>
        <rFont val="Times New Roman"/>
        <family val="1"/>
      </rPr>
      <t>(trễ hạn 1 ngày, đạt đầy đủ yêu cầu)</t>
    </r>
  </si>
  <si>
    <r>
      <rPr>
        <sz val="13"/>
        <rFont val="Times New Roman"/>
        <family val="1"/>
      </rPr>
      <t xml:space="preserve">Công văn số 1563-CV/BTCTU ngày 29/4/2026 phúc đáp Công văn số 451/SNV- TCBC&amp;TCPCP ngày 21/4/2026 của Sở Nội vụ
</t>
    </r>
    <r>
      <rPr>
        <i/>
        <sz val="13"/>
        <color rgb="FFFF0000"/>
        <rFont val="Times New Roman"/>
        <family val="1"/>
      </rPr>
      <t>(đúng hạn, đạt đầy đủ yêu cầu)</t>
    </r>
  </si>
  <si>
    <r>
      <rPr>
        <sz val="13"/>
        <rFont val="Times New Roman"/>
        <family val="1"/>
      </rPr>
      <t xml:space="preserve">Hướng dẫn số 03-HD/BTCTU ngày 22/5/2026 về chức năng, nhiệm vụ, tổ chức bộ máy Trung tâm chính trị xã, phường, đặc khu trên địa bàn TP.HCM
</t>
    </r>
    <r>
      <rPr>
        <i/>
        <sz val="13"/>
        <color rgb="FFFF0000"/>
        <rFont val="Times New Roman"/>
        <family val="1"/>
      </rPr>
      <t>(đúng hạn, đạt đầy đủ yêu cầu)</t>
    </r>
  </si>
  <si>
    <r>
      <rPr>
        <sz val="13"/>
        <rFont val="Times New Roman"/>
        <family val="1"/>
      </rPr>
      <t xml:space="preserve">Công văn số 1766-CV/BTCTU ngày 15/5/2026 Báo cáo sơ kết 5 năm thực hiện Chỉ thị số 04-CT/TW của Ban Bí thư (Công văn số 1564-CV/BNCTU-P3 ngày 14/5/2026)
</t>
    </r>
    <r>
      <rPr>
        <i/>
        <sz val="13"/>
        <color rgb="FFFF0000"/>
        <rFont val="Times New Roman"/>
        <family val="1"/>
      </rPr>
      <t>(đúng hạn, đạt đầy đủ yêu cầu)</t>
    </r>
  </si>
  <si>
    <r>
      <rPr>
        <sz val="13"/>
        <rFont val="Times New Roman"/>
        <family val="1"/>
      </rPr>
      <t xml:space="preserve">Công văn 1717-CV/BTCTU, 14/5/2026 phúc đáp Công văn số 6837/STC-QLNS ngày 23 tháng 3 năm 2026 của Sở Tài Chính về đề nghị cung cấp biên chế khối Đảng, cơ quan Ủy ban Mặt trận Tổ quốc Việt Nam Thành phố; khối Đảng, cơ quan Ủy ban Mặt trận Tổ quốc Việt Nam xã, phường, đặc khu năm 2026 và dự kiến đề xuất năm 2027
</t>
    </r>
    <r>
      <rPr>
        <i/>
        <sz val="13"/>
        <color rgb="FFFF0000"/>
        <rFont val="Times New Roman"/>
        <family val="1"/>
      </rPr>
      <t>(đúng hạn, đạt đầy đủ yêu cầu)</t>
    </r>
  </si>
  <si>
    <r>
      <rPr>
        <sz val="13"/>
        <rFont val="Times New Roman"/>
        <family val="1"/>
      </rPr>
      <t xml:space="preserve">Công văn số 1779-CV/BTCTU ngày 18/5/2026 góp ý dự thảo sửa đổi, bổ sung Quy chế làm việc của Ban Chấp hành, Ban Thường vụ, Thường trực Đảng ủy xã Cần Giờ nhiệm kỳ 2025 - 2030 (Công văn số 269-CV/ĐU ngày 13/5/2026 của Ban Thường vụ Đảng ủy xã Cần Giờ)
</t>
    </r>
    <r>
      <rPr>
        <i/>
        <sz val="13"/>
        <color rgb="FFFF0000"/>
        <rFont val="Times New Roman"/>
        <family val="1"/>
      </rPr>
      <t>(đúng hạn, đạt đầy đủ yêu cầu)</t>
    </r>
  </si>
  <si>
    <r>
      <rPr>
        <sz val="13"/>
        <rFont val="Times New Roman"/>
        <family val="1"/>
      </rPr>
      <t xml:space="preserve">Công văn số 1810-CV/BTCTU ngày 19/5/2026 lấy ý kiến dự thảo Báo cáo kết quả kiểm điểm các cá nhân, tổ chức có liên quan đến công tác tham mưu dự án Trung tâm sát hạch lái xe Hải Vân (Công văn số 7980/SNV-XDCQTTN ngày 13/5/2026 của Sở Nội vụ)
</t>
    </r>
    <r>
      <rPr>
        <i/>
        <sz val="13"/>
        <color rgb="FFFF0000"/>
        <rFont val="Times New Roman"/>
        <family val="1"/>
      </rPr>
      <t>(đúng hạn, đạt đầy đủ yêu cầu)</t>
    </r>
  </si>
  <si>
    <r>
      <rPr>
        <sz val="13"/>
        <rFont val="Times New Roman"/>
        <family val="1"/>
      </rPr>
      <t xml:space="preserve">Công văn số 1435-CV/BTCTU ngày 16/4/2026 phúc đáp Công văn số 712/MTTQ-BTT ngày 06/4/2026 về trao đổi thông tin liên quan đến đánh giá, xếp loại chất lượng cán bộ lãnh đạo, quản lý
</t>
    </r>
    <r>
      <rPr>
        <i/>
        <sz val="13"/>
        <color rgb="FFFF0000"/>
        <rFont val="Times New Roman"/>
        <family val="1"/>
      </rPr>
      <t>(đúng hạn, đạt đầy đủ yêu cầu)</t>
    </r>
  </si>
  <si>
    <r>
      <rPr>
        <sz val="13"/>
        <rFont val="Times New Roman"/>
        <family val="1"/>
      </rPr>
      <t xml:space="preserve">Công văn số 1881-CV/BTCTU ngày 26/5/2026 phúc đáp Công văn số 8574/SNV-TCBC&amp;TCPCP ngày 21/5/2026 của Sở Nội vụ
</t>
    </r>
    <r>
      <rPr>
        <i/>
        <sz val="13"/>
        <color rgb="FFFF0000"/>
        <rFont val="Times New Roman"/>
        <family val="1"/>
      </rPr>
      <t>(trước hạn, đạt đầy đủ yêu cầu)</t>
    </r>
  </si>
  <si>
    <r>
      <rPr>
        <sz val="13"/>
        <rFont val="Times New Roman"/>
        <family val="1"/>
      </rPr>
      <t xml:space="preserve">Công văn số 1874-CV/BTCTU ngày 25/5/2026 góp ý hồ sơ dự thảo Quyết định ban hành Bộ tiêu chí xã nông thôn mới và Bộ tiêu chí xã nông thôn mới hiện đại trên địa bàn vùng nông thôn Thành phố Hồ Chí Minh giai đoạn 2026 - 2030 (Công văn số 14215/SNNMT-NTM&amp;GN ngày 18/5/2026 của Sở Nông nghiệp và Môi trường)
</t>
    </r>
    <r>
      <rPr>
        <i/>
        <sz val="13"/>
        <color rgb="FFFF0000"/>
        <rFont val="Times New Roman"/>
        <family val="1"/>
      </rPr>
      <t>(trước hạn, đạt đầy đủ yêu cầu)</t>
    </r>
  </si>
  <si>
    <r>
      <rPr>
        <sz val="13"/>
        <rFont val="Times New Roman"/>
        <family val="1"/>
      </rPr>
      <t xml:space="preserve">Công văn số 1841-CV/BTCTU ngày 22/5/2026 triển khai tuyển sinh, đào tạo thạc sĩ hệ dân sự ngành An ninh phi truyền thống (Công văn số 2469/T01-QLĐT của Học viện An ninh nhân dân)
</t>
    </r>
    <r>
      <rPr>
        <i/>
        <sz val="13"/>
        <color rgb="FFFF0000"/>
        <rFont val="Times New Roman"/>
        <family val="1"/>
      </rPr>
      <t>(trước hạn, đạt đầy đủ yêu cầu</t>
    </r>
    <r>
      <rPr>
        <sz val="13"/>
        <rFont val="Times New Roman"/>
        <family val="1"/>
      </rPr>
      <t>)</t>
    </r>
  </si>
  <si>
    <r>
      <rPr>
        <sz val="13"/>
        <rFont val="Times New Roman"/>
        <family val="1"/>
      </rPr>
      <t xml:space="preserve">Rà soát nhu cầu, cơ sở đào tạo, bồi dưỡng, chủ động xây dựng kế hoạch đào tạo, bồi dưỡng cho cán bộ cơ sở phù hợp với yêu cầu nhiệm vụ tại địa phương; báo cáo về Trung ương (qua Ban Tổ chức Trung ương) đối với nội dung cần Trung ương hỗ trợ đào tạo, bồi dưỡng (Công văn số 251-CV/TU ngày 31/3/2026). Hoàn thành trong tháng 6/2026
</t>
    </r>
    <r>
      <rPr>
        <i/>
        <sz val="13"/>
        <color rgb="FFFF0000"/>
        <rFont val="Times New Roman"/>
        <family val="1"/>
      </rPr>
      <t>(trước hạn, hoàn thành cơ bản)</t>
    </r>
  </si>
  <si>
    <r>
      <rPr>
        <b/>
        <i/>
        <sz val="13"/>
        <rFont val="Times New Roman"/>
        <family val="1"/>
      </rPr>
      <t xml:space="preserve">KPI % (trục 4) = B/A </t>
    </r>
    <r>
      <rPr>
        <i/>
        <sz val="13"/>
        <rFont val="Times New Roman"/>
        <family val="1"/>
      </rPr>
      <t>(nếu không có nhiệm vụ thì KPI được trọn 100%)</t>
    </r>
    <r>
      <rPr>
        <b/>
        <i/>
        <sz val="13"/>
        <rFont val="Times New Roman"/>
        <family val="1"/>
      </rPr>
      <t xml:space="preserve"> </t>
    </r>
  </si>
  <si>
    <r>
      <rPr>
        <b/>
        <i/>
        <sz val="13"/>
        <rFont val="Times New Roman"/>
        <family val="1"/>
      </rPr>
      <t xml:space="preserve">KPI % (trục 5) = B/A </t>
    </r>
    <r>
      <rPr>
        <i/>
        <sz val="13"/>
        <rFont val="Times New Roman"/>
        <family val="1"/>
      </rPr>
      <t>(nếu không có nhiệm vụ thì KPI được trọn 100%)</t>
    </r>
    <r>
      <rPr>
        <b/>
        <i/>
        <sz val="13"/>
        <rFont val="Times New Roman"/>
        <family val="1"/>
      </rPr>
      <t xml:space="preserve"> </t>
    </r>
  </si>
  <si>
    <r>
      <rPr>
        <b/>
        <i/>
        <sz val="13"/>
        <rFont val="Times New Roman"/>
        <family val="1"/>
      </rPr>
      <t xml:space="preserve">KPI % (trục 6) = B/A </t>
    </r>
    <r>
      <rPr>
        <i/>
        <sz val="13"/>
        <rFont val="Times New Roman"/>
        <family val="1"/>
      </rPr>
      <t>(nếu không có nhiệm vụ thì KPI được trọn 100%)</t>
    </r>
    <r>
      <rPr>
        <b/>
        <i/>
        <sz val="13"/>
        <rFont val="Times New Roman"/>
        <family val="1"/>
      </rPr>
      <t xml:space="preserve"> </t>
    </r>
  </si>
  <si>
    <r>
      <rPr>
        <b/>
        <sz val="14"/>
        <color rgb="FF000000"/>
        <rFont val="Times New Roman"/>
        <family val="1"/>
      </rPr>
      <t xml:space="preserve">Cột 2. Tên công việc: </t>
    </r>
    <r>
      <rPr>
        <sz val="14"/>
        <color rgb="FF000000"/>
        <rFont val="Times New Roman"/>
        <family val="1"/>
      </rPr>
      <t>ghi nội dung ngắn gọn, phản ánh đúng nhiệm vụ;</t>
    </r>
    <r>
      <rPr>
        <b/>
        <sz val="14"/>
        <color rgb="FF000000"/>
        <rFont val="Times New Roman"/>
        <family val="1"/>
      </rPr>
      <t xml:space="preserve">
Cột 3. Điểm chuẩn:</t>
    </r>
    <r>
      <rPr>
        <sz val="14"/>
        <color rgb="FF000000"/>
        <rFont val="Times New Roman"/>
        <family val="1"/>
      </rPr>
      <t xml:space="preserve"> Điểm chuẩn của công việc được xác định tại Danh mục Sản phẩm chuẩn</t>
    </r>
    <r>
      <rPr>
        <b/>
        <sz val="14"/>
        <color rgb="FF000000"/>
        <rFont val="Times New Roman"/>
        <family val="1"/>
      </rPr>
      <t xml:space="preserve">
Cột 4. Hệ số độ khó: </t>
    </r>
    <r>
      <rPr>
        <sz val="14"/>
        <color rgb="FF000000"/>
        <rFont val="Times New Roman"/>
        <family val="1"/>
      </rPr>
      <t>Hệ số độ khó của công việc được xác định tại Danh mục Sản phẩm chuẩn</t>
    </r>
    <r>
      <rPr>
        <b/>
        <sz val="14"/>
        <color rgb="FF000000"/>
        <rFont val="Times New Roman"/>
        <family val="1"/>
      </rPr>
      <t xml:space="preserve">
Cột 5. Tiến độ %: </t>
    </r>
    <r>
      <rPr>
        <sz val="14"/>
        <color rgb="FF000000"/>
        <rFont val="Times New Roman"/>
        <family val="1"/>
      </rPr>
      <t>tỷ lệ điểm căn cứ theo thời hạn hoàn thành
+ Hoàn thành đúng hoặc trước hạn: 100%;
+ Hoàn thành chậm 1–  3 ngày làm việc: 80%;
+ Hoàn thành chậm 4 – 5  ngày làm việc: 60%;
+ Hoàn thành chậm trên 5 ngày làm việc: 0%.</t>
    </r>
    <r>
      <rPr>
        <b/>
        <sz val="14"/>
        <color rgb="FF000000"/>
        <rFont val="Times New Roman"/>
        <family val="1"/>
      </rPr>
      <t xml:space="preserve">
Cột 6. Kết quả %: </t>
    </r>
    <r>
      <rPr>
        <sz val="14"/>
        <color rgb="FF000000"/>
        <rFont val="Times New Roman"/>
        <family val="1"/>
      </rPr>
      <t>tỷ lệ điểm căn cứ chất lượng sản phẩm
+ Đạt đầy đủ yêu cầu: 100%;
+ Đạt yêu cầu, chỉnh sửa nhỏ: 80%;
+ Hoàn thành cơ bản: 60%;
+ Không đạt yêu cầu: 0%.</t>
    </r>
    <r>
      <rPr>
        <b/>
        <sz val="14"/>
        <color rgb="FF000000"/>
        <rFont val="Times New Roman"/>
        <family val="1"/>
      </rPr>
      <t xml:space="preserve">
Cột 7. Điểm thực hiện = </t>
    </r>
    <r>
      <rPr>
        <sz val="14"/>
        <color rgb="FF000000"/>
        <rFont val="Times New Roman"/>
        <family val="1"/>
      </rPr>
      <t>Điểm chuẩn (cột 3)*(30%*Tiến độ % (cột 5) + 70%*Kết quả % (cột 6))</t>
    </r>
    <r>
      <rPr>
        <b/>
        <sz val="14"/>
        <color rgb="FF000000"/>
        <rFont val="Times New Roman"/>
        <family val="1"/>
      </rPr>
      <t xml:space="preserve">
Cột 8. Điểm quy đổi </t>
    </r>
    <r>
      <rPr>
        <sz val="14"/>
        <color rgb="FF000000"/>
        <rFont val="Times New Roman"/>
        <family val="1"/>
      </rPr>
      <t>= Điểm thực hiện (cột 7) × Hệ số độ khó (cột 4)</t>
    </r>
  </si>
  <si>
    <r>
      <rPr>
        <b/>
        <sz val="13"/>
        <color rgb="FF000000"/>
        <rFont val="Times New Roman"/>
        <family val="1"/>
      </rPr>
      <t xml:space="preserve">GỢI Ý KHUNG CHẤM ĐIỂM ĐÁNH GIÁ ĐỐI VỚI CÁN BỘ LÃNH ĐẠO, QUẢN LÝ KHỐI ĐẢNG, ĐOÀN THỂ
TRÊN CƠ SỞ CỤ THỂ HOÁ THEO MẪU 5,HƯỚNG DẪN SỐ 43-HD/BTCTW CỦA BAN TỔ CHỨC TRUNG ƯƠNG 
</t>
    </r>
    <r>
      <rPr>
        <i/>
        <sz val="13"/>
        <color rgb="FF000000"/>
        <rFont val="Times New Roman"/>
        <family val="1"/>
      </rPr>
      <t>(kèm theo Hướng dẫn số     -HD/BTCTU, ngày     tháng 6 năm 2026)</t>
    </r>
  </si>
  <si>
    <r>
      <rPr>
        <b/>
        <sz val="12"/>
        <color rgb="FF000000"/>
        <rFont val="Times New Roman"/>
        <family val="1"/>
      </rPr>
      <t xml:space="preserve">BẢN TỰ ĐÁNH GIÁ, XẾP LOẠI CỦA CÁ NHÂN
</t>
    </r>
    <r>
      <rPr>
        <b/>
        <i/>
        <sz val="12"/>
        <color rgb="FFFF0000"/>
        <rFont val="Times New Roman"/>
        <family val="1"/>
      </rPr>
      <t>(Cách 3: chia nhỏ 6 trục, tính KPI trên điểm từng trục tại phần II, Bản tự đánh giá cá nhân
KPI từng sản phẩm =Điểm chuẩn (10% Số lượng %+20% Tiến độ %+60% Chất lượng%+10% Lãnh đạo, điều hành %))</t>
    </r>
  </si>
  <si>
    <r>
      <rPr>
        <b/>
        <sz val="11"/>
        <color rgb="FF000000"/>
        <rFont val="Times New Roman"/>
        <family val="1"/>
      </rPr>
      <t xml:space="preserve">Trục (1) - THỰC HIỆN MỤC TIÊU PHÁT TRIỂN KINH TẾ - XÃ HỘI VÀ NHIỆM VỤ CHÍNH TRỊ ĐƯỢC GIAO </t>
    </r>
    <r>
      <rPr>
        <b/>
        <sz val="11"/>
        <color rgb="FF0000CC"/>
        <rFont val="Times New Roman"/>
        <family val="1"/>
      </rPr>
      <t>(10 ĐIỂM)</t>
    </r>
    <r>
      <rPr>
        <sz val="11"/>
        <color rgb="FF000000"/>
        <rFont val="Times New Roman"/>
        <family val="1"/>
      </rPr>
      <t xml:space="preserve">
- </t>
    </r>
    <r>
      <rPr>
        <sz val="11"/>
        <color rgb="FF0000CC"/>
        <rFont val="Times New Roman"/>
        <family val="1"/>
      </rPr>
      <t xml:space="preserve">Lãnh đạo, chỉ đạo, điều hành, tổ chức thực hiện hiệu quả nghị quyết, chỉ thị, kết luận, quy định, hướng dẫn của Trung ương và cấp trên.
- Chủ động xây dựng và lãnh đạo, chỉ đạo thực hiện có hiệu quả kế hoạch, chương trình công tác, đề án, quy chế, quy định thuộc lĩnh vực phụ trách gắn với kế hoạch, chương trình công tác và tình hình thực tiễn của tổ chức, cơ quan, đơn vị.
- Phân tích, tổng hợp, đánh giá và tham mưu cấp uỷ ban hành các văn bản theo lĩnh vực công tác đạt yêu cầu về nội dung, hình thức và tiến độ; 
</t>
    </r>
    <r>
      <rPr>
        <sz val="11"/>
        <color rgb="FF000000"/>
        <rFont val="Times New Roman"/>
        <family val="1"/>
      </rPr>
      <t>- Các nội dung khác (nếu có)</t>
    </r>
  </si>
  <si>
    <r>
      <rPr>
        <b/>
        <sz val="11"/>
        <color rgb="FF000000"/>
        <rFont val="Times New Roman"/>
        <family val="1"/>
      </rPr>
      <t xml:space="preserve">Trục (2) - HOÀN THIỆN THỂ CHẾ, ĐẨY MẠNH PHÂN CẤP, PHÂN QUYỀN GẮN VỚI KIỂM TRA, GIÁM SÁT </t>
    </r>
    <r>
      <rPr>
        <b/>
        <sz val="11"/>
        <color rgb="FF0000CC"/>
        <rFont val="Times New Roman"/>
        <family val="1"/>
      </rPr>
      <t>(15 ĐIỂM)</t>
    </r>
    <r>
      <rPr>
        <sz val="11"/>
        <color rgb="FF000000"/>
        <rFont val="Times New Roman"/>
        <family val="1"/>
      </rPr>
      <t xml:space="preserve">
- Ban hành kế hoạch, chương trình hành động thực hiện các nghị quyết, chỉ thị, kết luận theo phân cấp
- Triển khai, quán triệt chính sách phân cấp
- Giám sát thực hiện phân quyền
- </t>
    </r>
    <r>
      <rPr>
        <sz val="11"/>
        <color rgb="FF0000CC"/>
        <rFont val="Times New Roman"/>
        <family val="1"/>
      </rPr>
      <t xml:space="preserve">Hướng dẫn và tổ chức kiểm tra, giám sát việc thực hiện nhiệm vụ theo lĩnh vực được phân công, góp phần ngăn ngừa khuyết điểm, vi phạm, kịp thời phát hiện và xử lý các vấn đề phát sinh (nếu có);
- Xử lý điểm nghẽn thể chế, cải cách hành chính: Có sáng kiến/giải pháp cụ thể được cấp có thẩm quyền ghi nhận; 
</t>
    </r>
    <r>
      <rPr>
        <sz val="11"/>
        <color rgb="FF000000"/>
        <rFont val="Times New Roman"/>
        <family val="1"/>
      </rPr>
      <t>- Tỉ lệ hồ sơ giải quyết đúng hạn;
- Giải quyết 100% đơn, thư thuộc trách nhiệm, không để vượt cấp, phát sinh kéo dài;
- Nội dung khác (nếu có)</t>
    </r>
  </si>
  <si>
    <r>
      <rPr>
        <b/>
        <sz val="11"/>
        <color rgb="FF0000CC"/>
        <rFont val="Times New Roman"/>
        <family val="1"/>
      </rPr>
      <t>Trục (3) - THÚC ĐẨY PHÁT TRIỂN KHOA HỌC, CÔNG NGHỆ, ĐỔI MỚI SÁNG TẠO VÀ CHUYỂN ĐỔI SỐ (10 ĐIỂM)</t>
    </r>
    <r>
      <rPr>
        <sz val="11"/>
        <color rgb="FF0000CC"/>
        <rFont val="Times New Roman"/>
        <family val="1"/>
      </rPr>
      <t xml:space="preserve">
- Tổ chức thực hiện hiệu quả Nghị quyết 57-NQ/TW 
ngày 22/12/2024 của Bộ Chính trị;
- Triển khai chương trình, đề án chuyển đổi số;
- Sử dụng thành thạo hệ thống quản lý điều hành văn bản và các phần mềm khác trong công tác đảng;
- Ứng dụng khoa học công nghệ, đổi mới sáng tạo trong quản lý hành chính tại cơ quan, đơn vị
- Các nội dung khác (nếu có)</t>
    </r>
  </si>
  <si>
    <r>
      <rPr>
        <b/>
        <sz val="11"/>
        <color rgb="FF000000"/>
        <rFont val="Times New Roman"/>
        <family val="1"/>
      </rPr>
      <t xml:space="preserve">Trục (4) - XÂY DỰNG ĐẢNG VÀ HỆ THỐNG CHÍNH TRỊ TRONG SẠCH, VỮNG MẠNH; GIỮ GÌN ĐOÀN KẾT, THỐNG NHẤT NỘI BỘ; PHÒNG, CHỐNG THAM NHŨNG, LÃNG PHÍ, TIÊU CỰC </t>
    </r>
    <r>
      <rPr>
        <b/>
        <sz val="11"/>
        <color rgb="FF0000CC"/>
        <rFont val="Times New Roman"/>
        <family val="1"/>
      </rPr>
      <t>(20 ĐIỂM)</t>
    </r>
    <r>
      <rPr>
        <sz val="11"/>
        <color rgb="FF000000"/>
        <rFont val="Times New Roman"/>
        <family val="1"/>
      </rPr>
      <t xml:space="preserve">
- Xây dựng, củng cố TCCSĐ (thành lập mới, sắp xếp, kiện toàn các tổ chức đảng)
- Tỷ lệ kết nạp đảng viên mới
- Triển khai sinh hoạt, quán triệt định kỳ
- Việc sắp xếp, tinh gọn tổ chức bộ máy và vận hành mô hình chính quyền 02 cấp hoạt động hiệu năng, hiệu lực, hiệu quả;
</t>
    </r>
    <r>
      <rPr>
        <sz val="11"/>
        <color rgb="FF0000CC"/>
        <rFont val="Times New Roman"/>
        <family val="1"/>
      </rPr>
      <t xml:space="preserve">- Thẩm định, thẩm tra các nghị quyết, chính sách, giải pháp của cấp ủy về công tác xây dựng Đảng, xây dựng hệ thống chính trị và các nhiệm vụ chính trị được giao bảo đảm chất lượng, đúng quy định, không để xảy ra sai sót;
- Chủ động phát hiện, đề xuất các giải pháp đổi mới, tổng kết thực tiễn phù hợp với đường lối, chủ trương của Đảng và tình hình địa phương, tổ chức, cơ quan, đơn vị.
- Phối hợp chặt chẽ, hài hoà, hiệu quả mối quan hệ công  tác giữa các ban đảng, cơ quan nhà nước, Mặt trận Tổ quốc và các tổ chức chính trị - xã hội; giữa Trung ương và địa phương. Phối hợp giữa các đơn vị, địa bàn được giao phụ trách bảo đảm thống nhất, hiệu quả. 
- Tham gia xây dựng đoàn kết nội bộ của cơ quan, vụ, đơn vị phụ trách vững mạnh, không để xảy ra mất đoàn kết.
</t>
    </r>
    <r>
      <rPr>
        <sz val="11"/>
        <color rgb="FF000000"/>
        <rFont val="Times New Roman"/>
        <family val="1"/>
      </rPr>
      <t>- Các nội dung khác (nếu có)</t>
    </r>
  </si>
  <si>
    <r>
      <rPr>
        <b/>
        <sz val="11"/>
        <color rgb="FF000000"/>
        <rFont val="Times New Roman"/>
        <family val="1"/>
      </rPr>
      <t>Trục (5) - PHÁT TRIỂN VĂN HÓA, CON NGƯỜI, BẢO ĐẢM AN SINH XÃ HỘI, NÂNG CAO ĐỜI SỐNG NHÂN DÂN (10 ĐIỂM)</t>
    </r>
    <r>
      <rPr>
        <sz val="11"/>
        <color rgb="FF000000"/>
        <rFont val="Times New Roman"/>
        <family val="1"/>
      </rPr>
      <t xml:space="preserve">
</t>
    </r>
    <r>
      <rPr>
        <sz val="11"/>
        <color rgb="FF0000CC"/>
        <rFont val="Times New Roman"/>
        <family val="1"/>
      </rPr>
      <t xml:space="preserve">- Chỉ đạo thực hiện chế độ, chính sách đối với cán bộ thuộc phạm vi quản lý, không để xảy ra sai sót, phản ánh, khiếu nại. 
</t>
    </r>
    <r>
      <rPr>
        <sz val="11"/>
        <color rgb="FF000000"/>
        <rFont val="Times New Roman"/>
        <family val="1"/>
      </rPr>
      <t>- Thực hiện chính sách đối với người có công, đối tượng bảo trợ xã hội, giảm nghèo bền vững
- Xây dựng nông thôn mới,
- Bảo tồn, phát huy giá trị di sản, bản sắc văn hóa dân tộc
- Các nội dung khác (nếu có)</t>
    </r>
  </si>
  <si>
    <r>
      <rPr>
        <b/>
        <sz val="11"/>
        <color rgb="FF000000"/>
        <rFont val="Times New Roman"/>
        <family val="1"/>
      </rPr>
      <t>Trục (6) - CỦNG CỐ QUỐC PHÒNG, AN NINH, GIỮ VỮNG ỔN ĐỊNH CHÍNH TRỊ - XÃ HỘI, NÂNG CAO HIỆU QUẢ ĐỐI NGOẠI VÀ HỘI NHẬP QUỐC TẾ</t>
    </r>
    <r>
      <rPr>
        <b/>
        <sz val="11"/>
        <color rgb="FF0000CC"/>
        <rFont val="Times New Roman"/>
        <family val="1"/>
      </rPr>
      <t xml:space="preserve"> (05 ĐIỂM)</t>
    </r>
    <r>
      <rPr>
        <sz val="11"/>
        <color rgb="FF000000"/>
        <rFont val="Times New Roman"/>
        <family val="1"/>
      </rPr>
      <t xml:space="preserve">
- </t>
    </r>
    <r>
      <rPr>
        <sz val="11"/>
        <color rgb="FF0000CC"/>
        <rFont val="Times New Roman"/>
        <family val="1"/>
      </rPr>
      <t xml:space="preserve">Khả năng điều phối, xử lý hiệu quả các tình huống phức tạp, điểm nóng.
</t>
    </r>
    <r>
      <rPr>
        <sz val="11"/>
        <color rgb="FF000000"/>
        <rFont val="Times New Roman"/>
        <family val="1"/>
      </rPr>
      <t>- Giữ vững an ninh chính trị, trật tự an toàn xã hội; không để hình thành "điểm nóng", bị động, bất ngờ
- Bảo đảm an ninh biên giới, an ninh kinh tế, an ninh mạng, an ninh tôn giáo, dân tộc
- Các nội dung khác (nếu có)</t>
    </r>
  </si>
  <si>
    <t>STT</t>
  </si>
  <si>
    <t>DANH MỤC SP CHUẨN</t>
  </si>
  <si>
    <t>BẢNG TÍNH ĐIỂM KPI</t>
  </si>
  <si>
    <t>BẢN TỰ ĐÁNH GIÁ</t>
  </si>
  <si>
    <t>NHẬN XÉT</t>
  </si>
  <si>
    <t>NHÓM TIÊU 
CHÍ CHUNG 
(30 ĐIỂM)</t>
  </si>
  <si>
    <t>KẾT QUẢ THỰC HIỆN 
NHIỆM VỤ ĐƯỢC GIAO (70 ĐIỂM)</t>
  </si>
  <si>
    <t>Cách 1</t>
  </si>
  <si>
    <t>Theo gợi ý của đ/c Phó Bí thư Thường trực Thành ủy</t>
  </si>
  <si>
    <t>Không chia nhỏ 6 trục, tính KPI trên tổng 70 điểm phần II, Bản tự đánh giá cá nhân
KPI từng sản phẩm =Điểm chuẩn*(30% Tiến độ %+70% Chất lượng%))</t>
  </si>
  <si>
    <t>- Chưa thể hiện việc đánh giá tập trung vào các trục kết quả trọng tâm như yêu cầu của Hướng dẫn số 02-HD/BTCTW;
- Chưa thể hiện được 4 điểm KPI như gợi ý theo Hướng dẫn số 02-HD/BTCTW.</t>
  </si>
  <si>
    <t>Cách 2</t>
  </si>
  <si>
    <t>Chia nhỏ điểm 6 trục, tính KPI trên điểm từng trục tại phần II, Bản tự đánh giá cá nhân. KPI từng sản phẩm =Điểm chuẩn*(30% Tiến độ %+70% Chất lượng%)</t>
  </si>
  <si>
    <t>- Có thể hiện việc đánh giá tập trung vào các trục kết quả trọng tâm như yêu cầu của Hướng dẫn số 02-HD/BTCTW;
- Chưa thể hiện được 4 điểm KPI như gợi ý theo Hướng dẫn số 02-HD/BTCTW (KPI số lượng, KPI tiến độ, KPI Chất lượng và KPI lãnh đạo, điều hành).</t>
  </si>
  <si>
    <t>Cách 3</t>
  </si>
  <si>
    <t>Chia nhỏ 6 trục, tính KPI trên điểm từng trục tại phần II, Bản tự đánh giá cá nhân
KPI từng sản phẩm =Điểm chuẩn (10% Số lượng %+20% Tiến độ %+60% Chất lượng%+10% Lãnh đạo, điều hành %))</t>
  </si>
  <si>
    <r>
      <rPr>
        <sz val="11"/>
        <rFont val="Times New Roman"/>
        <family val="1"/>
      </rPr>
      <t xml:space="preserve">- Có thể hiện việc đánh giá tập trung vào các trục kết quả trọng tâm như yêu cầu của Hướng dẫn số 02-HD/BTCTW;
- Thể hiện được 4 điểm KPI như gợi ý theo Hướng dẫn số 02-HD/BTCTW. (KPI số lượng, KPI tiến độ, KPI Chất lượng và KPI lãnh đạo, điều hành).
</t>
    </r>
    <r>
      <rPr>
        <b/>
        <sz val="11"/>
        <rFont val="Times New Roman"/>
        <family val="1"/>
      </rPr>
      <t>Đây là cách tối ưu nhất</t>
    </r>
  </si>
  <si>
    <t>Cách 4</t>
  </si>
  <si>
    <t>Thực hiện theo Hướng dẫn 02-HD/BTCTW và dự thảo Hướng dẫn của BTC/TU đã tham mưu</t>
  </si>
  <si>
    <t xml:space="preserve">II. </t>
  </si>
  <si>
    <r>
      <t xml:space="preserve">(6) </t>
    </r>
    <r>
      <rPr>
        <i/>
        <sz val="12"/>
        <rFont val="Times New Roman"/>
        <family val="1"/>
      </rPr>
      <t>Căn cứ theo thời hạn hoàn thành
+ Hoàn thành đúng hoặc trước hạn: 100%;
+ Hoàn thành chậm 1–  3 ngày làm việc: 80%;
+ Hoàn thành chậm 4 – 5  ngày làm việc: 60%;
+ Hoàn thành chậm trên 5 ngày làm việc: 0%.</t>
    </r>
    <r>
      <rPr>
        <b/>
        <sz val="12"/>
        <rFont val="Times New Roman"/>
        <family val="1"/>
      </rPr>
      <t xml:space="preserve">
</t>
    </r>
  </si>
  <si>
    <r>
      <t xml:space="preserve">(7) </t>
    </r>
    <r>
      <rPr>
        <i/>
        <sz val="12"/>
        <rFont val="Times New Roman"/>
        <family val="1"/>
      </rPr>
      <t>Căn cứ chất lượng sản phẩm
+ Đạt đầy đủ yêu cầu: 100%;
+ Đạt yêu cầu, chỉnh sửa nhỏ: 80%;
+ Hoàn thành cơ bản: 60%;
+ Không đạt yêu cầu: 0%.</t>
    </r>
  </si>
  <si>
    <r>
      <t xml:space="preserve">BẢNG TÍNH ĐIỂM KPI
</t>
    </r>
    <r>
      <rPr>
        <b/>
        <sz val="14"/>
        <rFont val="Times New Roman"/>
        <family val="1"/>
      </rPr>
      <t/>
    </r>
  </si>
  <si>
    <t xml:space="preserve">Điểm giá trị A    </t>
  </si>
  <si>
    <t>Người lập biểu</t>
  </si>
  <si>
    <t>TRỤC 1 - THỰC HIỆN MỤC TIÊU PHÁT TRIỂN KINH TẾ - XÃ HỘI VÀ NHIỆM VỤ CHÍNH TRỊ ĐƯỢC GIAO</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</si>
  <si>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</si>
  <si>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</si>
  <si>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</si>
  <si>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</si>
  <si>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</si>
  <si>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 xml:space="preserve">DANH MỤC SẢN PHẨM CHUẨN QUÝ III NĂM 2026
</t>
  </si>
  <si>
    <t>BẢN TỰ ĐÁNH GIÁ, XẾP LOẠI CỦA CÁ NHÂN</t>
  </si>
  <si>
    <t>Họ và tên:…………………………..………................................................................... Ngày sinh: ………………………...................................................</t>
  </si>
  <si>
    <t>Chức vụ Đảng: ……………………………………………………………….……………………………………………………………….……………….</t>
  </si>
  <si>
    <t>Chức vụ chính quyền: ………………………………………………………..……………………………………………………………….……………….</t>
  </si>
  <si>
    <t>Chức vụ đoàn thể: …………………………………………………………………………………………………………………………….………………</t>
  </si>
  <si>
    <t>Đơn vị công tác: ……………………………...……………………………………………………………………………………………….………………</t>
  </si>
  <si>
    <t>Tư duy đổi mới, chiến lược, khát vọng cống hiến, dám nghĩ dám làm</t>
  </si>
  <si>
    <t>TỔNG (B) = Điểm KPI đã tính tại bảng tính điểm</t>
  </si>
  <si>
    <t>II. Tự đề xuất xếp loại mức chất lượng:…................................................................................................................................................................................</t>
  </si>
  <si>
    <t>(Theo 04 mức: - Hoàn thành xuất sắc nhiệm vụ, 2- Hoàn thành tốt nhiệm vụ, 3- Hoàn thành nhiệm vụ và 4- Không hoàn thành nhiệm vụ)</t>
  </si>
  <si>
    <t>Tiêu chí đánh giá, xếp loại chất lượng thực hiện theo mục 2.3, khoản 2, phần IV của Kế hoạch số 13-KH/TU của Ban Thường vụ Thành ủy; trong đó, trường hợp cá nhân “Hoàn thành xuất sắc nhiệm vụ” ngoài kết quả tổng điểm đạt từ 90 điểm trở lên, các địa phương, lĩnh vực, cơ quan, đơn vị, bộ phận do cá nhân trực tiếp lãnh đạo, quản lý hoàn thành 100% nhiệm vụ được giao; trong đó có ít nhất 30% số nhiệm vụ hoàn thành vượt mức yêu cầu.</t>
  </si>
  <si>
    <r>
      <t xml:space="preserve">XÁC NHẬN CỦA BAN THƯỜNG VỤ CẤP ỦY 
HOẶC TẬP THỂ LÃNH ĐẠO CƠ QUAN, ĐƠN VỊ
</t>
    </r>
    <r>
      <rPr>
        <i/>
        <sz val="12"/>
        <color rgb="FF000000"/>
        <rFont val="Times New Roman"/>
        <family val="1"/>
      </rPr>
      <t>(Xác lập thời điểm, ký, ghi rõ họ tên và đóng dấu)</t>
    </r>
  </si>
  <si>
    <t>NGUYỄN VĂN A</t>
  </si>
  <si>
    <t>ĐẢNG ỦY PHƯỜNG AN ĐÔNG
TRƯỜNG MẦM NON HOÀNG YẾN</t>
  </si>
  <si>
    <t>An Đông, ngày 08 tháng 9 năm 2026</t>
  </si>
  <si>
    <t>ĐẢNG ỦY PHƯỜNG AN ĐÔNG
 TRƯỜNG MẦM NON HOÀNG YẾN</t>
  </si>
  <si>
    <t>Mẫu 01-A</t>
  </si>
  <si>
    <t>THÀNH ỦY/ĐẢNG ỦY/
CƠ QUAN, ĐƠN VỊ…
*</t>
  </si>
  <si>
    <t>Quý …., Năm ….</t>
  </si>
  <si>
    <t>NHÓM TIÊU CHÍ CHUNG (30 ĐIỂM)</t>
  </si>
  <si>
    <t xml:space="preserve"> Về tự phê bình và phê bình, tự soi, tự sửa, khắc phục hạn chế, khuyết điểm</t>
  </si>
  <si>
    <r>
      <t xml:space="preserve">
</t>
    </r>
    <r>
      <rPr>
        <sz val="12"/>
        <color rgb="FF000000"/>
        <rFont val="Times New Roman"/>
        <family val="1"/>
      </rPr>
      <t>Tập trung vào các trục kết quả trọng tâm: (1) Thực hiện mục tiêu phát triển kinh tế - xã hội và nhiệm vụ chính trị được giao; (2) Hoàn thiện thể chế, đẩy mạnh phân cấp, phân quyền gắn với kiểm tra, giám sát; (3) Thúc đẩy phát triển khoa học, công nghệ, đổi mới sáng tạo và chuyển đổi số; (4) Xây dựng Đảng và hệ thống chính trị trong sạch, vững mạnh; giữ gìn đoàn kết, thống nhất nội bộ; phòng, chống tham nhũng, lãng phí, tiêu cực; (5) Phát triển văn hóa, con người, bảo đảm an sinh xã hội, nâng cao đời sống nhân dân; (6) Củng cố quốc phòng, an ninh, giữ vững ổn định chính trị - xã hội, nâng cao hiệu quả đối ngoại và hội nhập quốc tế.</t>
    </r>
  </si>
  <si>
    <r>
      <t xml:space="preserve">Điểm tối đa </t>
    </r>
    <r>
      <rPr>
        <sz val="12"/>
        <color rgb="FF000000"/>
        <rFont val="Times New Roman"/>
        <family val="1"/>
      </rPr>
      <t>(70 điểm)</t>
    </r>
  </si>
  <si>
    <r>
      <t xml:space="preserve">Điểm đạt được
</t>
    </r>
    <r>
      <rPr>
        <sz val="12"/>
        <color rgb="FF000000"/>
        <rFont val="Times New Roman"/>
        <family val="1"/>
      </rPr>
      <t>= Điểm KPI đã tính tại bảng tính điểm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</si>
</sst>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quot;)&quot;"/>
  </numFmts>
  <fonts count="67" x14ac:knownFonts="1">
    <font>
      <sz val="11"/>
      <name val="Aptos Narrow"/>
      <scheme val="minor"/>
    </font>
    <font>
      <sz val="11"/>
      <color theme="1"/>
      <name val="Aptos Narrow"/>
      <family val="2"/>
      <scheme val="minor"/>
    </font>
    <font>
      <sz val="11"/>
      <color theme="1"/>
      <name val="Aptos Narrow"/>
      <family val="2"/>
      <scheme val="minor"/>
    </font>
    <font>
      <sz val="13"/>
      <name val="Times New Roman"/>
      <family val="1"/>
    </font>
    <font>
      <b/>
      <sz val="13"/>
      <name val="Times New Roman"/>
      <family val="1"/>
    </font>
    <font>
      <b/>
      <sz val="16"/>
      <name val="Times New Roman"/>
      <family val="1"/>
    </font>
    <font>
      <b/>
      <sz val="13"/>
      <name val="Times New Roman"/>
      <family val="1"/>
    </font>
    <font>
      <sz val="11"/>
      <name val="Aptos Narrow"/>
      <family val="2"/>
    </font>
    <font>
      <sz val="13"/>
      <color rgb="FF000000"/>
      <name val="Times New Roman"/>
      <family val="1"/>
    </font>
    <font>
      <b/>
      <sz val="13"/>
      <color rgb="FF000000"/>
      <name val="Times New Roman"/>
      <family val="1"/>
    </font>
    <font>
      <sz val="12"/>
      <name val="Times New Roman"/>
      <family val="1"/>
    </font>
    <font>
      <b/>
      <sz val="12"/>
      <name val="Times New Roman"/>
      <family val="1"/>
    </font>
    <font>
      <b/>
      <sz val="12"/>
      <name val="Times New Roman"/>
      <family val="1"/>
    </font>
    <font>
      <b/>
      <sz val="14"/>
      <name val="Times New Roman"/>
      <family val="1"/>
    </font>
    <font>
      <b/>
      <i/>
      <sz val="13"/>
      <name val="Times New Roman"/>
      <family val="1"/>
    </font>
    <font>
      <i/>
      <sz val="13"/>
      <name val="Times New Roman"/>
      <family val="1"/>
    </font>
    <font>
      <i/>
      <sz val="12"/>
      <name val="Times New Roman"/>
      <family val="1"/>
    </font>
    <font>
      <b/>
      <i/>
      <sz val="12"/>
      <name val="Times New Roman"/>
      <family val="1"/>
    </font>
    <font>
      <sz val="11"/>
      <name val="Times New Roman"/>
      <family val="1"/>
    </font>
    <font>
      <b/>
      <i/>
      <sz val="12"/>
      <color rgb="FFFF0000"/>
      <name val="Times New Roman"/>
      <family val="1"/>
    </font>
    <font>
      <b/>
      <sz val="14"/>
      <color rgb="FF000000"/>
      <name val="Times New Roman"/>
      <family val="1"/>
    </font>
    <font>
      <u/>
      <sz val="16"/>
      <color rgb="FF000000"/>
      <name val="Times New Roman"/>
      <family val="1"/>
    </font>
    <font>
      <sz val="16"/>
      <name val="Arial"/>
      <family val="2"/>
    </font>
    <font>
      <sz val="16"/>
      <name val="Times New Roman"/>
      <family val="1"/>
    </font>
    <font>
      <sz val="11"/>
      <name val="Calibri"/>
      <family val="2"/>
    </font>
    <font>
      <sz val="11"/>
      <name val="Calibri"/>
      <family val="2"/>
    </font>
    <font>
      <b/>
      <sz val="12"/>
      <color rgb="FF000000"/>
      <name val="Times New Roman"/>
      <family val="1"/>
    </font>
    <font>
      <b/>
      <u/>
      <sz val="12"/>
      <color rgb="FF000000"/>
      <name val="Times New Roman"/>
      <family val="1"/>
    </font>
    <font>
      <i/>
      <sz val="12"/>
      <color rgb="FF000000"/>
      <name val="Times New Roman"/>
      <family val="1"/>
    </font>
    <font>
      <sz val="12"/>
      <color rgb="FF000000"/>
      <name val="Times New Roman"/>
      <family val="1"/>
    </font>
    <font>
      <sz val="11"/>
      <name val="Aptos Narrow"/>
      <family val="2"/>
    </font>
    <font>
      <sz val="11"/>
      <color rgb="FF000000"/>
      <name val="Times New Roman"/>
      <family val="1"/>
    </font>
    <font>
      <b/>
      <sz val="12"/>
      <color rgb="FF0000CC"/>
      <name val="Times New Roman"/>
      <family val="1"/>
    </font>
    <font>
      <sz val="11"/>
      <color rgb="FF0000CC"/>
      <name val="Times New Roman"/>
      <family val="1"/>
    </font>
    <font>
      <sz val="12"/>
      <name val="Aptos Narrow"/>
      <family val="2"/>
    </font>
    <font>
      <sz val="12"/>
      <name val="Calibri"/>
      <family val="2"/>
    </font>
    <font>
      <b/>
      <sz val="12"/>
      <color rgb="FFFF0000"/>
      <name val="Times New Roman"/>
      <family val="1"/>
    </font>
    <font>
      <b/>
      <i/>
      <sz val="12"/>
      <color rgb="FF000000"/>
      <name val="Times New Roman"/>
      <family val="1"/>
    </font>
    <font>
      <i/>
      <sz val="14"/>
      <name val="Times New Roman"/>
      <family val="1"/>
    </font>
    <font>
      <b/>
      <u/>
      <sz val="14"/>
      <color rgb="FF000000"/>
      <name val="Times New Roman"/>
      <family val="1"/>
    </font>
    <font>
      <sz val="14"/>
      <color rgb="FF000000"/>
      <name val="Times New Roman"/>
      <family val="1"/>
    </font>
    <font>
      <sz val="12"/>
      <color rgb="FFFF0000"/>
      <name val="Times New Roman"/>
      <family val="1"/>
    </font>
    <font>
      <sz val="14"/>
      <name val="Times New Roman"/>
      <family val="1"/>
    </font>
    <font>
      <sz val="11"/>
      <name val="Times New Roman"/>
      <family val="1"/>
    </font>
    <font>
      <b/>
      <sz val="11"/>
      <name val="Times New Roman"/>
      <family val="1"/>
    </font>
    <font>
      <b/>
      <i/>
      <sz val="16"/>
      <name val="Times New Roman"/>
      <family val="1"/>
    </font>
    <font>
      <i/>
      <sz val="13"/>
      <color rgb="FFFF0000"/>
      <name val="Times New Roman"/>
      <family val="1"/>
    </font>
    <font>
      <b/>
      <i/>
      <sz val="13"/>
      <color rgb="FFFF0000"/>
      <name val="Times New Roman"/>
      <family val="1"/>
    </font>
    <font>
      <i/>
      <sz val="13"/>
      <color rgb="FF000000"/>
      <name val="Times New Roman"/>
      <family val="1"/>
    </font>
    <font>
      <b/>
      <sz val="11"/>
      <color rgb="FF000000"/>
      <name val="Times New Roman"/>
      <family val="1"/>
    </font>
    <font>
      <b/>
      <sz val="11"/>
      <color rgb="FF0000CC"/>
      <name val="Times New Roman"/>
      <family val="1"/>
    </font>
    <font>
      <b/>
      <i/>
      <sz val="16"/>
      <color rgb="FFFF0000"/>
      <name val="Times New Roman"/>
      <family val="1"/>
    </font>
    <font>
      <sz val="12"/>
      <name val="Times New Roman"/>
      <family val="1"/>
    </font>
    <font>
      <b/>
      <sz val="12"/>
      <name val="Times New Roman"/>
      <family val="1"/>
    </font>
    <font>
      <b/>
      <sz val="16"/>
      <name val="Times New Roman"/>
      <family val="1"/>
    </font>
    <font>
      <b/>
      <i/>
      <sz val="12"/>
      <name val="Times New Roman"/>
      <family val="1"/>
    </font>
    <font>
      <sz val="11"/>
      <name val="Calibri"/>
      <family val="2"/>
    </font>
    <font>
      <b/>
      <u/>
      <sz val="12"/>
      <name val="Times New Roman"/>
      <family val="1"/>
    </font>
    <font>
      <b/>
      <u/>
      <sz val="12"/>
      <color rgb="FF000000"/>
      <name val="Times New Roman"/>
      <family val="1"/>
    </font>
    <font>
      <sz val="11"/>
      <name val="Aptos Narrow"/>
      <family val="2"/>
      <scheme val="minor"/>
    </font>
    <font>
      <sz val="8"/>
      <name val="Aptos Narrow"/>
      <family val="2"/>
      <scheme val="minor"/>
    </font>
    <font>
      <sz val="11"/>
      <color theme="1"/>
      <name val="Calibri"/>
      <family val="2"/>
    </font>
    <font>
      <b/>
      <sz val="12"/>
      <color theme="1"/>
      <name val="Times New Roman"/>
      <family val="1"/>
    </font>
    <font>
      <sz val="12"/>
      <color theme="1"/>
      <name val="Aptos Narrow"/>
      <family val="2"/>
      <scheme val="minor"/>
    </font>
    <font>
      <i/>
      <sz val="12"/>
      <color theme="1"/>
      <name val="Aptos Narrow"/>
      <family val="2"/>
      <scheme val="minor"/>
    </font>
    <font>
      <sz val="12"/>
      <color theme="1"/>
      <name val="Times New Roman"/>
      <family val="1"/>
    </font>
    <font>
      <sz val="12"/>
      <color theme="1"/>
      <name val="Calibri"/>
      <family val="2"/>
    </font>
  </fonts>
  <fills count="14">
    <fill>
      <patternFill patternType="none"/>
    </fill>
    <fill>
      <patternFill patternType="gray125"/>
    </fill>
    <fill>
      <patternFill patternType="solid">
        <fgColor rgb="FFD9F2D0"/>
        <bgColor rgb="FFD9F2D0"/>
      </patternFill>
    </fill>
    <fill>
      <patternFill patternType="solid">
        <fgColor rgb="FFFFFF00"/>
        <bgColor rgb="FFFFFF00"/>
      </patternFill>
    </fill>
    <fill>
      <patternFill patternType="solid">
        <fgColor rgb="FFF5FAFD"/>
        <bgColor rgb="FFF5FAFD"/>
      </patternFill>
    </fill>
    <fill>
      <patternFill patternType="solid">
        <fgColor rgb="FFCFE5F3"/>
        <bgColor rgb="FFCFE5F3"/>
      </patternFill>
    </fill>
    <fill>
      <patternFill patternType="solid">
        <fgColor rgb="FFE3F0F9"/>
        <bgColor rgb="FFE3F0F9"/>
      </patternFill>
    </fill>
    <fill>
      <patternFill patternType="solid">
        <fgColor rgb="FFF4FAFD"/>
        <bgColor rgb="FFF4FAFD"/>
      </patternFill>
    </fill>
    <fill>
      <patternFill patternType="solid">
        <fgColor rgb="FFFFFFFF"/>
        <bgColor rgb="FFFFFFFF"/>
      </patternFill>
    </fill>
    <fill>
      <patternFill patternType="solid">
        <fgColor rgb="FFBFDCEF"/>
        <bgColor rgb="FFBFDCEF"/>
      </patternFill>
    </fill>
    <fill>
      <patternFill patternType="solid">
        <fgColor rgb="FFAED4EA"/>
        <bgColor rgb="FFAED4EA"/>
      </patternFill>
    </fill>
    <fill>
      <patternFill patternType="solid">
        <fgColor rgb="FFD9EAF7"/>
      </patternFill>
    </fill>
    <fill>
      <patternFill patternType="solid">
        <fgColor theme="3" tint="0.89999084444715716"/>
        <bgColor indexed="64"/>
      </patternFill>
    </fill>
    <fill>
      <patternFill patternType="solid">
        <fgColor rgb="FFFFFF00"/>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BFD3E6"/>
      </left>
      <right/>
      <top style="thin">
        <color rgb="FFBFD3E6"/>
      </top>
      <bottom style="thin">
        <color rgb="FFBFD3E6"/>
      </bottom>
      <diagonal/>
    </border>
    <border>
      <left/>
      <right/>
      <top style="thin">
        <color rgb="FFBFD3E6"/>
      </top>
      <bottom style="thin">
        <color rgb="FFBFD3E6"/>
      </bottom>
      <diagonal/>
    </border>
    <border>
      <left/>
      <right style="thin">
        <color rgb="FFBFD3E6"/>
      </right>
      <top style="thin">
        <color rgb="FFBFD3E6"/>
      </top>
      <bottom style="thin">
        <color rgb="FFBFD3E6"/>
      </bottom>
      <diagonal/>
    </border>
    <border>
      <left style="thin">
        <color rgb="FFBFD3E6"/>
      </left>
      <right style="thin">
        <color rgb="FFBFD3E6"/>
      </right>
      <top style="thin">
        <color rgb="FFBFD3E6"/>
      </top>
      <bottom style="thin">
        <color rgb="FFBFD3E6"/>
      </bottom>
      <diagonal/>
    </border>
    <border>
      <left/>
      <right/>
      <top style="thin">
        <color rgb="FFBFD3E6"/>
      </top>
      <bottom style="thin">
        <color rgb="FFBFD3E6"/>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D3E6"/>
      </left>
      <right/>
      <top/>
      <bottom style="thin">
        <color rgb="FFBFD3E6"/>
      </bottom>
      <diagonal/>
    </border>
    <border>
      <left/>
      <right/>
      <top/>
      <bottom style="thin">
        <color rgb="FFBFD3E6"/>
      </bottom>
      <diagonal/>
    </border>
    <border>
      <left/>
      <right style="thin">
        <color rgb="FFBFD3E6"/>
      </right>
      <top/>
      <bottom style="thin">
        <color rgb="FFBFD3E6"/>
      </bottom>
      <diagonal/>
    </border>
    <border>
      <left style="thin">
        <color rgb="FFBFD3E6"/>
      </left>
      <right style="thin">
        <color rgb="FFBFD3E6"/>
      </right>
      <top/>
      <bottom style="thin">
        <color rgb="FFBFD3E6"/>
      </bottom>
      <diagonal/>
    </border>
  </borders>
  <cellStyleXfs count="4">
    <xf numFmtId="0" fontId="0" fillId="0" borderId="0"/>
    <xf numFmtId="0" fontId="2" fillId="0" borderId="13"/>
    <xf numFmtId="9" fontId="59" fillId="0" borderId="0" applyFont="0" applyFill="0" applyBorder="0" applyAlignment="0" applyProtection="0"/>
    <xf numFmtId="0" fontId="1" fillId="0" borderId="13"/>
  </cellStyleXfs>
  <cellXfs count="305">
    <xf numFmtId="0" fontId="0" fillId="0" borderId="0" xfId="0"/>
    <xf numFmtId="0" fontId="3" fillId="0" borderId="0" xfId="0" applyFont="1"/>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8" fillId="0" borderId="1" xfId="0" applyFont="1" applyBorder="1" applyAlignment="1">
      <alignment horizontal="center" vertical="center" wrapText="1"/>
    </xf>
    <xf numFmtId="9" fontId="3"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0" fontId="3" fillId="0" borderId="1" xfId="0" applyFont="1" applyBorder="1" applyAlignment="1">
      <alignment horizontal="left" vertical="top" wrapText="1"/>
    </xf>
    <xf numFmtId="0" fontId="4" fillId="0" borderId="1" xfId="0" applyFont="1" applyBorder="1" applyAlignment="1">
      <alignment horizontal="center" vertical="center" wrapText="1"/>
    </xf>
    <xf numFmtId="0" fontId="9" fillId="0" borderId="0" xfId="0" applyFont="1" applyAlignment="1">
      <alignment horizontal="center" vertical="center" wrapText="1"/>
    </xf>
    <xf numFmtId="0" fontId="10" fillId="0" borderId="0" xfId="0" applyFont="1"/>
    <xf numFmtId="0" fontId="11" fillId="0" borderId="1" xfId="0" applyFont="1" applyBorder="1" applyAlignment="1">
      <alignment vertical="center"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164" fontId="11" fillId="0" borderId="1" xfId="0" applyNumberFormat="1" applyFont="1" applyBorder="1" applyAlignment="1">
      <alignment horizontal="center" vertical="center" wrapText="1"/>
    </xf>
    <xf numFmtId="0" fontId="11" fillId="0" borderId="0" xfId="0" applyFont="1"/>
    <xf numFmtId="0" fontId="13" fillId="0" borderId="1" xfId="0" applyFont="1" applyBorder="1" applyAlignment="1">
      <alignment vertical="center"/>
    </xf>
    <xf numFmtId="1" fontId="3" fillId="0" borderId="1" xfId="0" applyNumberFormat="1" applyFont="1" applyBorder="1" applyAlignment="1">
      <alignment horizontal="center" vertical="center" wrapText="1"/>
    </xf>
    <xf numFmtId="9" fontId="10" fillId="0" borderId="1" xfId="0" applyNumberFormat="1" applyFont="1" applyBorder="1" applyAlignment="1">
      <alignment horizontal="center" vertical="center" wrapText="1"/>
    </xf>
    <xf numFmtId="0" fontId="10" fillId="0" borderId="1" xfId="0" applyFont="1" applyBorder="1" applyAlignment="1">
      <alignment horizontal="center" vertical="center"/>
    </xf>
    <xf numFmtId="0" fontId="14" fillId="0" borderId="1" xfId="0" applyFont="1" applyBorder="1" applyAlignment="1">
      <alignment horizontal="right" vertical="center" wrapText="1"/>
    </xf>
    <xf numFmtId="0" fontId="14" fillId="0" borderId="1" xfId="0" applyFont="1" applyBorder="1" applyAlignment="1">
      <alignment horizontal="center" vertical="center" wrapText="1"/>
    </xf>
    <xf numFmtId="9" fontId="15" fillId="0" borderId="1" xfId="0" applyNumberFormat="1" applyFont="1" applyBorder="1" applyAlignment="1">
      <alignment horizontal="center" vertical="center" wrapText="1"/>
    </xf>
    <xf numFmtId="9" fontId="16" fillId="0" borderId="1" xfId="0" applyNumberFormat="1" applyFont="1" applyBorder="1" applyAlignment="1">
      <alignment horizontal="center" vertical="center" wrapText="1"/>
    </xf>
    <xf numFmtId="0" fontId="14" fillId="0" borderId="1" xfId="0" applyFont="1" applyBorder="1" applyAlignment="1">
      <alignment horizontal="left" vertical="center" wrapText="1"/>
    </xf>
    <xf numFmtId="10" fontId="4" fillId="0" borderId="1" xfId="0" applyNumberFormat="1" applyFont="1" applyBorder="1" applyAlignment="1">
      <alignment horizontal="center" vertical="center" wrapText="1"/>
    </xf>
    <xf numFmtId="0" fontId="4" fillId="0" borderId="1" xfId="0" applyFont="1" applyBorder="1" applyAlignment="1">
      <alignment vertical="center"/>
    </xf>
    <xf numFmtId="0" fontId="18" fillId="0" borderId="1" xfId="0" applyFont="1" applyBorder="1"/>
    <xf numFmtId="0" fontId="10" fillId="0" borderId="1" xfId="0" applyFont="1" applyBorder="1" applyAlignment="1">
      <alignment horizontal="center" vertical="center" wrapText="1"/>
    </xf>
    <xf numFmtId="9" fontId="10" fillId="0" borderId="1" xfId="0" applyNumberFormat="1" applyFont="1" applyBorder="1" applyAlignment="1">
      <alignment horizontal="center" vertical="center"/>
    </xf>
    <xf numFmtId="0" fontId="3" fillId="0" borderId="2" xfId="0" applyFont="1" applyBorder="1" applyAlignment="1">
      <alignment horizontal="left" vertical="center" wrapText="1"/>
    </xf>
    <xf numFmtId="0" fontId="19" fillId="0" borderId="3" xfId="0" applyFont="1" applyBorder="1" applyAlignment="1">
      <alignment horizontal="center" vertical="center" wrapText="1"/>
    </xf>
    <xf numFmtId="9" fontId="10" fillId="0" borderId="3" xfId="0" applyNumberFormat="1" applyFont="1" applyBorder="1" applyAlignment="1">
      <alignment horizontal="center" vertical="center" wrapText="1"/>
    </xf>
    <xf numFmtId="9" fontId="10" fillId="3" borderId="5" xfId="0" applyNumberFormat="1" applyFont="1" applyFill="1" applyBorder="1" applyAlignment="1">
      <alignment horizontal="center" vertical="center" wrapText="1"/>
    </xf>
    <xf numFmtId="0" fontId="10" fillId="0" borderId="3" xfId="0" applyFont="1" applyBorder="1" applyAlignment="1">
      <alignment horizontal="center" vertical="center"/>
    </xf>
    <xf numFmtId="1" fontId="4"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21" fillId="0" borderId="0" xfId="0" applyFont="1" applyAlignment="1">
      <alignment horizontal="left" vertical="center"/>
    </xf>
    <xf numFmtId="0" fontId="22" fillId="0" borderId="0" xfId="0" applyFont="1" applyAlignment="1">
      <alignment horizontal="center"/>
    </xf>
    <xf numFmtId="0" fontId="23" fillId="0" borderId="0" xfId="0" applyFont="1"/>
    <xf numFmtId="0" fontId="10" fillId="0" borderId="0" xfId="0" applyFont="1" applyAlignment="1">
      <alignment horizontal="center"/>
    </xf>
    <xf numFmtId="0" fontId="24" fillId="0" borderId="0" xfId="0" applyFont="1" applyAlignment="1">
      <alignment horizontal="left"/>
    </xf>
    <xf numFmtId="0" fontId="25" fillId="0" borderId="0" xfId="0" applyFont="1"/>
    <xf numFmtId="0" fontId="26" fillId="0" borderId="0" xfId="0" applyFont="1" applyAlignment="1">
      <alignment vertical="top" wrapText="1"/>
    </xf>
    <xf numFmtId="0" fontId="26" fillId="0" borderId="0" xfId="0" applyFont="1" applyAlignment="1">
      <alignment horizontal="center"/>
    </xf>
    <xf numFmtId="0" fontId="26" fillId="0" borderId="0" xfId="0" applyFont="1" applyAlignment="1">
      <alignment horizontal="center" vertical="center" wrapText="1"/>
    </xf>
    <xf numFmtId="0" fontId="11" fillId="0" borderId="0" xfId="0" applyFont="1" applyAlignment="1">
      <alignment horizontal="left" vertical="center" wrapText="1"/>
    </xf>
    <xf numFmtId="0" fontId="26" fillId="5" borderId="9" xfId="0" applyFont="1" applyFill="1" applyBorder="1" applyAlignment="1">
      <alignment horizontal="center" vertical="center" wrapText="1"/>
    </xf>
    <xf numFmtId="0" fontId="30" fillId="0" borderId="0" xfId="0" applyFont="1"/>
    <xf numFmtId="0" fontId="26" fillId="6" borderId="9" xfId="0" applyFont="1" applyFill="1" applyBorder="1" applyAlignment="1">
      <alignment horizontal="center" vertical="center" wrapText="1"/>
    </xf>
    <xf numFmtId="0" fontId="26" fillId="6" borderId="9" xfId="0" applyFont="1" applyFill="1" applyBorder="1" applyAlignment="1">
      <alignment horizontal="left" vertical="center" wrapText="1"/>
    </xf>
    <xf numFmtId="0" fontId="26" fillId="6" borderId="9" xfId="0" applyFont="1" applyFill="1" applyBorder="1" applyAlignment="1">
      <alignment horizontal="center" vertical="center"/>
    </xf>
    <xf numFmtId="0" fontId="29" fillId="7" borderId="9" xfId="0" applyFont="1" applyFill="1" applyBorder="1" applyAlignment="1">
      <alignment horizontal="center" vertical="center"/>
    </xf>
    <xf numFmtId="0" fontId="29" fillId="7" borderId="9" xfId="0" applyFont="1" applyFill="1" applyBorder="1" applyAlignment="1">
      <alignment horizontal="center" vertical="center" wrapText="1"/>
    </xf>
    <xf numFmtId="0" fontId="29" fillId="8" borderId="9" xfId="0" applyFont="1" applyFill="1" applyBorder="1" applyAlignment="1">
      <alignment horizontal="center" vertical="center"/>
    </xf>
    <xf numFmtId="0" fontId="29" fillId="8" borderId="9" xfId="0" applyFont="1" applyFill="1" applyBorder="1" applyAlignment="1">
      <alignment horizontal="center" vertical="center" wrapText="1"/>
    </xf>
    <xf numFmtId="0" fontId="26" fillId="9" borderId="9" xfId="0" applyFont="1" applyFill="1" applyBorder="1" applyAlignment="1">
      <alignment horizontal="center" vertical="center"/>
    </xf>
    <xf numFmtId="0" fontId="26" fillId="9" borderId="9" xfId="0" applyFont="1" applyFill="1" applyBorder="1"/>
    <xf numFmtId="2" fontId="29" fillId="7" borderId="9" xfId="0" applyNumberFormat="1" applyFont="1" applyFill="1" applyBorder="1" applyAlignment="1">
      <alignment horizontal="center" vertical="center" wrapText="1"/>
    </xf>
    <xf numFmtId="10" fontId="29" fillId="7" borderId="9" xfId="0" applyNumberFormat="1" applyFont="1" applyFill="1" applyBorder="1" applyAlignment="1">
      <alignment horizontal="center" vertical="center" wrapText="1"/>
    </xf>
    <xf numFmtId="0" fontId="32" fillId="7" borderId="9" xfId="0" applyFont="1" applyFill="1" applyBorder="1" applyAlignment="1">
      <alignment horizontal="center" vertical="center" wrapText="1"/>
    </xf>
    <xf numFmtId="0" fontId="29" fillId="7" borderId="9" xfId="0" applyFont="1" applyFill="1" applyBorder="1" applyAlignment="1">
      <alignment vertical="center" wrapText="1"/>
    </xf>
    <xf numFmtId="2" fontId="29" fillId="8" borderId="9" xfId="0" applyNumberFormat="1" applyFont="1" applyFill="1" applyBorder="1" applyAlignment="1">
      <alignment horizontal="center" vertical="center" wrapText="1"/>
    </xf>
    <xf numFmtId="0" fontId="32" fillId="8" borderId="9" xfId="0" applyFont="1" applyFill="1" applyBorder="1" applyAlignment="1">
      <alignment horizontal="center" vertical="center" wrapText="1"/>
    </xf>
    <xf numFmtId="0" fontId="29" fillId="8" borderId="9" xfId="0" applyFont="1" applyFill="1" applyBorder="1" applyAlignment="1">
      <alignment vertical="center" wrapText="1"/>
    </xf>
    <xf numFmtId="0" fontId="26" fillId="7" borderId="9" xfId="0" applyFont="1" applyFill="1" applyBorder="1" applyAlignment="1">
      <alignment horizontal="center" vertical="center" wrapText="1"/>
    </xf>
    <xf numFmtId="0" fontId="12" fillId="8" borderId="9" xfId="0" applyFont="1" applyFill="1" applyBorder="1" applyAlignment="1">
      <alignment horizontal="center" vertical="center" wrapText="1"/>
    </xf>
    <xf numFmtId="0" fontId="29" fillId="7" borderId="9" xfId="0" applyFont="1" applyFill="1" applyBorder="1" applyAlignment="1">
      <alignment horizontal="left" vertical="center" wrapText="1"/>
    </xf>
    <xf numFmtId="0" fontId="29" fillId="8" borderId="9" xfId="0" applyFont="1" applyFill="1" applyBorder="1" applyAlignment="1">
      <alignment horizontal="left" vertical="center" wrapText="1"/>
    </xf>
    <xf numFmtId="1" fontId="26" fillId="9" borderId="9" xfId="0" applyNumberFormat="1" applyFont="1" applyFill="1" applyBorder="1" applyAlignment="1">
      <alignment horizontal="center" vertical="center"/>
    </xf>
    <xf numFmtId="0" fontId="26" fillId="9" borderId="9" xfId="0" applyFont="1" applyFill="1" applyBorder="1" applyAlignment="1">
      <alignment wrapText="1"/>
    </xf>
    <xf numFmtId="0" fontId="26" fillId="10" borderId="9" xfId="0" applyFont="1" applyFill="1" applyBorder="1" applyAlignment="1">
      <alignment horizontal="center" vertical="center"/>
    </xf>
    <xf numFmtId="1" fontId="26" fillId="10" borderId="9" xfId="0" applyNumberFormat="1" applyFont="1" applyFill="1" applyBorder="1" applyAlignment="1">
      <alignment horizontal="center" vertical="center"/>
    </xf>
    <xf numFmtId="0" fontId="26" fillId="10" borderId="9" xfId="0" applyFont="1" applyFill="1" applyBorder="1" applyAlignment="1">
      <alignment horizontal="center" vertical="center" wrapText="1"/>
    </xf>
    <xf numFmtId="0" fontId="34" fillId="0" borderId="0" xfId="0" applyFont="1" applyAlignment="1">
      <alignment vertical="center"/>
    </xf>
    <xf numFmtId="0" fontId="26" fillId="0" borderId="0" xfId="0" applyFont="1" applyAlignment="1">
      <alignment vertical="center"/>
    </xf>
    <xf numFmtId="0" fontId="17" fillId="0" borderId="0" xfId="0" applyFont="1"/>
    <xf numFmtId="0" fontId="34" fillId="0" borderId="0" xfId="0" applyFont="1"/>
    <xf numFmtId="0" fontId="10" fillId="0" borderId="0" xfId="0" applyFont="1" applyAlignment="1">
      <alignment vertical="center" wrapText="1"/>
    </xf>
    <xf numFmtId="0" fontId="35" fillId="0" borderId="0" xfId="0" applyFont="1" applyAlignment="1">
      <alignment horizontal="center"/>
    </xf>
    <xf numFmtId="0" fontId="11" fillId="0" borderId="0" xfId="0" applyFont="1" applyAlignment="1">
      <alignment vertical="center"/>
    </xf>
    <xf numFmtId="0" fontId="30" fillId="0" borderId="0" xfId="0" applyFont="1" applyAlignment="1">
      <alignment vertical="center"/>
    </xf>
    <xf numFmtId="0" fontId="24" fillId="0" borderId="0" xfId="0" applyFont="1" applyAlignment="1">
      <alignment horizontal="center"/>
    </xf>
    <xf numFmtId="0" fontId="43" fillId="0" borderId="0" xfId="0" applyFont="1"/>
    <xf numFmtId="0" fontId="3" fillId="2" borderId="1" xfId="0" applyFont="1" applyFill="1" applyBorder="1" applyAlignment="1">
      <alignment horizontal="left" vertical="center" wrapText="1"/>
    </xf>
    <xf numFmtId="0" fontId="8" fillId="2" borderId="1" xfId="0" applyFont="1" applyFill="1" applyBorder="1" applyAlignment="1">
      <alignment vertical="center" wrapText="1"/>
    </xf>
    <xf numFmtId="0" fontId="3" fillId="0" borderId="0" xfId="0" applyFont="1" applyAlignment="1">
      <alignment horizontal="center" vertical="center" wrapText="1"/>
    </xf>
    <xf numFmtId="0" fontId="14" fillId="0" borderId="0" xfId="0" applyFont="1" applyAlignment="1">
      <alignment horizontal="left" vertical="center" wrapText="1"/>
    </xf>
    <xf numFmtId="10" fontId="4" fillId="0" borderId="0" xfId="0" applyNumberFormat="1" applyFont="1" applyAlignment="1">
      <alignment horizontal="center" vertical="center" wrapText="1"/>
    </xf>
    <xf numFmtId="9" fontId="15" fillId="0" borderId="0" xfId="0" applyNumberFormat="1" applyFont="1" applyAlignment="1">
      <alignment horizontal="left" vertical="center" wrapText="1"/>
    </xf>
    <xf numFmtId="0" fontId="19" fillId="0" borderId="0" xfId="0" applyFont="1"/>
    <xf numFmtId="0" fontId="43" fillId="0" borderId="0" xfId="0" applyFont="1" applyAlignment="1">
      <alignment horizontal="center" vertical="center"/>
    </xf>
    <xf numFmtId="0" fontId="44" fillId="0" borderId="1" xfId="0" applyFont="1" applyBorder="1" applyAlignment="1">
      <alignment horizontal="center" vertical="center" wrapText="1"/>
    </xf>
    <xf numFmtId="0" fontId="43" fillId="0" borderId="1" xfId="0" applyFont="1" applyBorder="1" applyAlignment="1">
      <alignment horizontal="left" vertical="center"/>
    </xf>
    <xf numFmtId="0" fontId="43" fillId="0" borderId="1" xfId="0" applyFont="1" applyBorder="1" applyAlignment="1">
      <alignment horizontal="left" vertical="center" wrapText="1"/>
    </xf>
    <xf numFmtId="0" fontId="43" fillId="0" borderId="1" xfId="0" quotePrefix="1" applyFont="1" applyBorder="1" applyAlignment="1">
      <alignment horizontal="left" vertical="center" wrapText="1"/>
    </xf>
    <xf numFmtId="0" fontId="44" fillId="0" borderId="1" xfId="0" applyFont="1" applyBorder="1" applyAlignment="1">
      <alignment horizontal="left" vertical="center"/>
    </xf>
    <xf numFmtId="0" fontId="43" fillId="3" borderId="1" xfId="0" applyFont="1" applyFill="1" applyBorder="1" applyAlignment="1">
      <alignment horizontal="left" vertical="center" wrapText="1"/>
    </xf>
    <xf numFmtId="0" fontId="43" fillId="3" borderId="1" xfId="0" applyFont="1" applyFill="1" applyBorder="1" applyAlignment="1">
      <alignment horizontal="left" vertical="center"/>
    </xf>
    <xf numFmtId="0" fontId="56" fillId="0" borderId="0" xfId="0" applyFont="1" applyAlignment="1">
      <alignment horizontal="left"/>
    </xf>
    <xf numFmtId="0" fontId="53" fillId="0" borderId="0" xfId="0" applyFont="1" applyAlignment="1">
      <alignment vertical="top" wrapText="1"/>
    </xf>
    <xf numFmtId="0" fontId="53" fillId="0" borderId="0" xfId="0" applyFont="1" applyAlignment="1">
      <alignment horizontal="center"/>
    </xf>
    <xf numFmtId="0" fontId="53" fillId="0" borderId="0" xfId="0" applyFont="1" applyAlignment="1">
      <alignment vertical="center"/>
    </xf>
    <xf numFmtId="0" fontId="53" fillId="0" borderId="16" xfId="0" applyFont="1" applyBorder="1" applyAlignment="1">
      <alignment horizontal="center" vertical="center" wrapText="1"/>
    </xf>
    <xf numFmtId="0" fontId="52" fillId="0" borderId="16" xfId="0" applyFont="1" applyBorder="1" applyAlignment="1">
      <alignment horizontal="center" vertical="center" wrapText="1"/>
    </xf>
    <xf numFmtId="0" fontId="53" fillId="0" borderId="0" xfId="0" applyFont="1"/>
    <xf numFmtId="0" fontId="0" fillId="0" borderId="0" xfId="0" applyAlignment="1">
      <alignment vertical="center"/>
    </xf>
    <xf numFmtId="0" fontId="11" fillId="0" borderId="1" xfId="0" applyFont="1" applyBorder="1" applyAlignment="1">
      <alignment horizontal="center" vertical="center" wrapText="1"/>
    </xf>
    <xf numFmtId="0" fontId="52" fillId="0" borderId="16" xfId="0" applyFont="1" applyBorder="1" applyAlignment="1">
      <alignment vertical="center" wrapText="1"/>
    </xf>
    <xf numFmtId="0" fontId="10" fillId="0" borderId="0" xfId="0" applyFont="1" applyAlignment="1">
      <alignment horizontal="center" vertical="center"/>
    </xf>
    <xf numFmtId="0" fontId="10" fillId="0" borderId="0" xfId="0" applyFont="1" applyAlignment="1">
      <alignment vertical="center"/>
    </xf>
    <xf numFmtId="0" fontId="0" fillId="0" borderId="0" xfId="0" applyAlignment="1">
      <alignment horizontal="center"/>
    </xf>
    <xf numFmtId="0" fontId="11" fillId="0" borderId="16" xfId="0" applyFont="1" applyBorder="1" applyAlignment="1">
      <alignment horizontal="center" vertical="center" wrapText="1"/>
    </xf>
    <xf numFmtId="0" fontId="12" fillId="0" borderId="16" xfId="0" applyFont="1" applyBorder="1" applyAlignment="1">
      <alignment horizontal="center" vertical="center" wrapText="1"/>
    </xf>
    <xf numFmtId="164" fontId="11" fillId="0" borderId="16" xfId="0" applyNumberFormat="1" applyFont="1" applyBorder="1" applyAlignment="1">
      <alignment horizontal="center" vertical="center" wrapText="1"/>
    </xf>
    <xf numFmtId="164" fontId="53" fillId="0" borderId="16" xfId="0" applyNumberFormat="1" applyFont="1" applyBorder="1" applyAlignment="1">
      <alignment horizontal="center" vertical="center" wrapText="1"/>
    </xf>
    <xf numFmtId="0" fontId="10" fillId="0" borderId="16" xfId="0" applyFont="1" applyBorder="1" applyAlignment="1">
      <alignment horizontal="center" vertical="center" wrapText="1"/>
    </xf>
    <xf numFmtId="9" fontId="10" fillId="0" borderId="16" xfId="0" applyNumberFormat="1" applyFont="1" applyBorder="1" applyAlignment="1">
      <alignment horizontal="center" vertical="center" wrapText="1"/>
    </xf>
    <xf numFmtId="0" fontId="41" fillId="0" borderId="16" xfId="0" applyFont="1" applyBorder="1" applyAlignment="1">
      <alignment horizontal="center" vertical="center" wrapText="1"/>
    </xf>
    <xf numFmtId="9" fontId="29" fillId="0" borderId="16" xfId="0" applyNumberFormat="1" applyFont="1" applyBorder="1" applyAlignment="1">
      <alignment horizontal="center" vertical="center" wrapText="1"/>
    </xf>
    <xf numFmtId="9" fontId="10" fillId="0" borderId="16" xfId="0" applyNumberFormat="1" applyFont="1" applyBorder="1" applyAlignment="1">
      <alignment horizontal="center" vertical="center"/>
    </xf>
    <xf numFmtId="2" fontId="41" fillId="0" borderId="16" xfId="0" applyNumberFormat="1" applyFont="1" applyBorder="1" applyAlignment="1">
      <alignment horizontal="center" vertical="center" wrapText="1"/>
    </xf>
    <xf numFmtId="0" fontId="36" fillId="0" borderId="16" xfId="0" applyFont="1" applyBorder="1" applyAlignment="1">
      <alignment horizontal="center" vertical="center" wrapText="1"/>
    </xf>
    <xf numFmtId="2" fontId="36" fillId="0" borderId="16" xfId="0" applyNumberFormat="1" applyFont="1" applyBorder="1" applyAlignment="1">
      <alignment horizontal="center" vertical="center" wrapText="1"/>
    </xf>
    <xf numFmtId="0" fontId="17" fillId="0" borderId="16" xfId="0" applyFont="1" applyBorder="1" applyAlignment="1">
      <alignment horizontal="left" vertical="center" wrapText="1"/>
    </xf>
    <xf numFmtId="0" fontId="58" fillId="0" borderId="0" xfId="0" applyFont="1" applyAlignment="1">
      <alignment vertical="center"/>
    </xf>
    <xf numFmtId="0" fontId="52" fillId="0" borderId="0" xfId="0" applyFont="1" applyAlignment="1">
      <alignment vertical="center"/>
    </xf>
    <xf numFmtId="0" fontId="6"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52" fillId="0" borderId="0" xfId="0" applyFont="1"/>
    <xf numFmtId="0" fontId="10" fillId="0" borderId="11" xfId="0" applyFont="1" applyBorder="1"/>
    <xf numFmtId="0" fontId="37" fillId="0" borderId="11" xfId="0" applyFont="1" applyBorder="1" applyAlignment="1">
      <alignment vertical="center"/>
    </xf>
    <xf numFmtId="0" fontId="10" fillId="0" borderId="1" xfId="0" applyFont="1" applyBorder="1"/>
    <xf numFmtId="0" fontId="37" fillId="0" borderId="1" xfId="0" applyFont="1" applyBorder="1" applyAlignment="1">
      <alignment vertical="center"/>
    </xf>
    <xf numFmtId="0" fontId="13" fillId="0" borderId="0" xfId="0" applyFont="1" applyAlignment="1">
      <alignment horizontal="center" vertical="center"/>
    </xf>
    <xf numFmtId="0" fontId="13" fillId="0" borderId="0" xfId="0" applyFont="1" applyAlignment="1">
      <alignment horizontal="center" vertical="center" wrapText="1"/>
    </xf>
    <xf numFmtId="0" fontId="38" fillId="0" borderId="0" xfId="0" applyFont="1" applyAlignment="1">
      <alignment horizontal="left" wrapText="1"/>
    </xf>
    <xf numFmtId="0" fontId="39" fillId="0" borderId="0" xfId="0" applyFont="1" applyAlignment="1">
      <alignment horizontal="left" vertical="center"/>
    </xf>
    <xf numFmtId="0" fontId="53" fillId="0" borderId="0" xfId="0" applyFont="1" applyAlignment="1">
      <alignment horizontal="center" vertical="center"/>
    </xf>
    <xf numFmtId="0" fontId="11" fillId="11" borderId="16" xfId="0" applyFont="1" applyFill="1" applyBorder="1" applyAlignment="1">
      <alignment vertical="center" wrapText="1"/>
    </xf>
    <xf numFmtId="0" fontId="53" fillId="0" borderId="0" xfId="0" applyFont="1" applyAlignment="1">
      <alignment horizontal="left"/>
    </xf>
    <xf numFmtId="164" fontId="53" fillId="12" borderId="14" xfId="0" applyNumberFormat="1" applyFont="1" applyFill="1" applyBorder="1" applyAlignment="1">
      <alignment horizontal="center" vertical="center" wrapText="1"/>
    </xf>
    <xf numFmtId="0" fontId="11" fillId="12" borderId="16" xfId="0" applyFont="1" applyFill="1" applyBorder="1" applyAlignment="1">
      <alignment vertical="center" wrapText="1"/>
    </xf>
    <xf numFmtId="0" fontId="11" fillId="0" borderId="13" xfId="0" applyFont="1" applyBorder="1" applyAlignment="1">
      <alignment vertical="center" wrapText="1"/>
    </xf>
    <xf numFmtId="164" fontId="10" fillId="0" borderId="14" xfId="0" applyNumberFormat="1" applyFont="1" applyBorder="1" applyAlignment="1">
      <alignment horizontal="center" vertical="center" wrapText="1"/>
    </xf>
    <xf numFmtId="0" fontId="11" fillId="12" borderId="18" xfId="0" applyFont="1" applyFill="1" applyBorder="1" applyAlignment="1">
      <alignment vertical="center" wrapText="1"/>
    </xf>
    <xf numFmtId="0" fontId="52" fillId="0" borderId="13" xfId="0" applyFont="1" applyBorder="1"/>
    <xf numFmtId="0" fontId="55" fillId="12" borderId="16" xfId="0" applyFont="1" applyFill="1" applyBorder="1" applyAlignment="1">
      <alignment vertical="center" wrapText="1"/>
    </xf>
    <xf numFmtId="0" fontId="53" fillId="12" borderId="16" xfId="0" applyFont="1" applyFill="1" applyBorder="1" applyAlignment="1">
      <alignment horizontal="center" vertical="center" wrapText="1"/>
    </xf>
    <xf numFmtId="0" fontId="53" fillId="12" borderId="17" xfId="0" applyFont="1" applyFill="1" applyBorder="1" applyAlignment="1">
      <alignment vertical="center" wrapText="1"/>
    </xf>
    <xf numFmtId="0" fontId="53" fillId="12" borderId="16" xfId="0" applyFont="1" applyFill="1" applyBorder="1" applyAlignment="1">
      <alignment vertical="center" wrapText="1"/>
    </xf>
    <xf numFmtId="0" fontId="53" fillId="12" borderId="16" xfId="0" applyFont="1" applyFill="1" applyBorder="1" applyAlignment="1">
      <alignment horizontal="left" vertical="center" wrapText="1"/>
    </xf>
    <xf numFmtId="0" fontId="53" fillId="12" borderId="16" xfId="0" applyFont="1" applyFill="1" applyBorder="1" applyAlignment="1">
      <alignment horizontal="center" vertical="center"/>
    </xf>
    <xf numFmtId="9" fontId="53" fillId="12" borderId="16" xfId="0" applyNumberFormat="1" applyFont="1" applyFill="1" applyBorder="1" applyAlignment="1">
      <alignment horizontal="center" vertical="center"/>
    </xf>
    <xf numFmtId="0" fontId="53" fillId="12" borderId="16" xfId="0" quotePrefix="1" applyFont="1" applyFill="1" applyBorder="1" applyAlignment="1">
      <alignment horizontal="center" vertical="center" wrapText="1"/>
    </xf>
    <xf numFmtId="0" fontId="53" fillId="11" borderId="16" xfId="0" applyFont="1" applyFill="1" applyBorder="1" applyAlignment="1">
      <alignment vertical="center" wrapText="1"/>
    </xf>
    <xf numFmtId="0" fontId="61" fillId="0" borderId="13" xfId="3" applyFont="1" applyAlignment="1">
      <alignment horizontal="left"/>
    </xf>
    <xf numFmtId="0" fontId="1" fillId="0" borderId="13" xfId="3"/>
    <xf numFmtId="0" fontId="63" fillId="0" borderId="13" xfId="3" applyFont="1"/>
    <xf numFmtId="0" fontId="64" fillId="0" borderId="13" xfId="3" applyFont="1"/>
    <xf numFmtId="0" fontId="62" fillId="0" borderId="13" xfId="3" applyFont="1" applyAlignment="1">
      <alignment horizontal="left" vertical="center" wrapText="1"/>
    </xf>
    <xf numFmtId="0" fontId="63" fillId="0" borderId="13" xfId="3" applyFont="1" applyAlignment="1">
      <alignment vertical="center"/>
    </xf>
    <xf numFmtId="0" fontId="65" fillId="0" borderId="13" xfId="3" applyFont="1" applyAlignment="1">
      <alignment vertical="center" wrapText="1"/>
    </xf>
    <xf numFmtId="0" fontId="66" fillId="0" borderId="13" xfId="3" applyFont="1" applyAlignment="1">
      <alignment horizontal="center"/>
    </xf>
    <xf numFmtId="0" fontId="28" fillId="0" borderId="13" xfId="3" applyFont="1" applyAlignment="1">
      <alignment horizontal="center" vertical="center" wrapText="1"/>
    </xf>
    <xf numFmtId="0" fontId="62" fillId="0" borderId="13" xfId="3" applyFont="1" applyAlignment="1">
      <alignment vertical="center"/>
    </xf>
    <xf numFmtId="0" fontId="1" fillId="0" borderId="13" xfId="3" applyAlignment="1">
      <alignment vertical="center"/>
    </xf>
    <xf numFmtId="0" fontId="61" fillId="0" borderId="13" xfId="3" applyFont="1" applyAlignment="1">
      <alignment horizontal="center"/>
    </xf>
    <xf numFmtId="0" fontId="3" fillId="13" borderId="0" xfId="0" applyFont="1" applyFill="1"/>
    <xf numFmtId="0" fontId="52" fillId="13" borderId="16" xfId="0" applyFont="1" applyFill="1" applyBorder="1" applyAlignment="1">
      <alignment horizontal="center" vertical="center" wrapText="1"/>
    </xf>
    <xf numFmtId="14" fontId="10" fillId="13" borderId="16" xfId="0" applyNumberFormat="1" applyFont="1" applyFill="1" applyBorder="1" applyAlignment="1">
      <alignment horizontal="center" vertical="center" wrapText="1"/>
    </xf>
    <xf numFmtId="9" fontId="52" fillId="13" borderId="16" xfId="0" applyNumberFormat="1" applyFont="1" applyFill="1" applyBorder="1" applyAlignment="1">
      <alignment horizontal="center" vertical="center"/>
    </xf>
    <xf numFmtId="0" fontId="10" fillId="13" borderId="16" xfId="0" applyFont="1" applyFill="1" applyBorder="1" applyAlignment="1">
      <alignment vertical="center" wrapText="1"/>
    </xf>
    <xf numFmtId="17" fontId="52" fillId="13" borderId="16" xfId="0" quotePrefix="1" applyNumberFormat="1" applyFont="1" applyFill="1" applyBorder="1" applyAlignment="1">
      <alignment horizontal="center" vertical="center" wrapText="1"/>
    </xf>
    <xf numFmtId="0" fontId="52" fillId="13" borderId="0" xfId="0" applyFont="1" applyFill="1" applyAlignment="1">
      <alignment horizontal="center" vertical="center"/>
    </xf>
    <xf numFmtId="0" fontId="52" fillId="13" borderId="16" xfId="0" applyFont="1" applyFill="1" applyBorder="1" applyAlignment="1">
      <alignment horizontal="left" vertical="center" wrapText="1"/>
    </xf>
    <xf numFmtId="0" fontId="10" fillId="13" borderId="16" xfId="0" applyFont="1" applyFill="1" applyBorder="1" applyAlignment="1">
      <alignment horizontal="center" vertical="center" wrapText="1"/>
    </xf>
    <xf numFmtId="9" fontId="10" fillId="13" borderId="16" xfId="2" applyFont="1" applyFill="1" applyBorder="1" applyAlignment="1">
      <alignment horizontal="center" vertical="center" wrapText="1"/>
    </xf>
    <xf numFmtId="0" fontId="52" fillId="13" borderId="16" xfId="0" applyFont="1" applyFill="1" applyBorder="1" applyAlignment="1">
      <alignment vertical="center" wrapText="1"/>
    </xf>
    <xf numFmtId="0" fontId="52" fillId="13" borderId="16" xfId="0" quotePrefix="1" applyFont="1" applyFill="1" applyBorder="1" applyAlignment="1">
      <alignment horizontal="center" vertical="center" wrapText="1"/>
    </xf>
    <xf numFmtId="0" fontId="52" fillId="13" borderId="16" xfId="0" applyFont="1" applyFill="1" applyBorder="1" applyAlignment="1">
      <alignment horizontal="center" vertical="center"/>
    </xf>
    <xf numFmtId="0" fontId="52" fillId="13" borderId="16" xfId="0" applyFont="1" applyFill="1" applyBorder="1" applyAlignment="1">
      <alignment vertical="center"/>
    </xf>
    <xf numFmtId="0" fontId="37" fillId="13" borderId="11" xfId="0" applyFont="1" applyFill="1" applyBorder="1" applyAlignment="1">
      <alignment horizontal="center" vertical="center"/>
    </xf>
    <xf numFmtId="0" fontId="37" fillId="13" borderId="1" xfId="0" applyFont="1" applyFill="1" applyBorder="1" applyAlignment="1">
      <alignment horizontal="center" vertical="center"/>
    </xf>
    <xf numFmtId="9" fontId="29" fillId="13" borderId="16" xfId="0" applyNumberFormat="1" applyFont="1" applyFill="1" applyBorder="1" applyAlignment="1">
      <alignment horizontal="center" vertical="center" wrapText="1"/>
    </xf>
    <xf numFmtId="9" fontId="10" fillId="13" borderId="16" xfId="2" applyFont="1" applyFill="1" applyBorder="1" applyAlignment="1">
      <alignment horizontal="center" vertical="center"/>
    </xf>
    <xf numFmtId="9" fontId="10" fillId="13" borderId="16" xfId="0" applyNumberFormat="1" applyFont="1" applyFill="1" applyBorder="1" applyAlignment="1">
      <alignment horizontal="center" vertical="center"/>
    </xf>
    <xf numFmtId="0" fontId="11" fillId="0" borderId="0" xfId="0" applyFont="1" applyAlignment="1">
      <alignment horizontal="center" vertical="center"/>
    </xf>
    <xf numFmtId="0" fontId="53" fillId="0" borderId="0" xfId="0" applyFont="1" applyAlignment="1">
      <alignment horizontal="center" vertical="center"/>
    </xf>
    <xf numFmtId="0" fontId="54" fillId="0" borderId="12" xfId="0" applyFont="1" applyBorder="1" applyAlignment="1">
      <alignment horizontal="center" wrapText="1"/>
    </xf>
    <xf numFmtId="0" fontId="11" fillId="0" borderId="0" xfId="0" applyFont="1" applyAlignment="1">
      <alignment horizontal="center" vertical="top" wrapText="1"/>
    </xf>
    <xf numFmtId="0" fontId="0" fillId="0" borderId="0" xfId="0"/>
    <xf numFmtId="0" fontId="57" fillId="0" borderId="0" xfId="0" applyFont="1" applyAlignment="1">
      <alignment horizontal="center" vertical="center" wrapText="1"/>
    </xf>
    <xf numFmtId="0" fontId="16" fillId="0" borderId="0" xfId="0" applyFont="1" applyAlignment="1">
      <alignment horizontal="center" vertical="center" wrapText="1"/>
    </xf>
    <xf numFmtId="0" fontId="20" fillId="0" borderId="0" xfId="0" applyFont="1" applyAlignment="1">
      <alignment horizontal="left" vertical="center" wrapText="1"/>
    </xf>
    <xf numFmtId="9" fontId="15" fillId="0" borderId="2" xfId="0" applyNumberFormat="1" applyFont="1" applyBorder="1" applyAlignment="1">
      <alignment horizontal="left" vertical="center" wrapText="1"/>
    </xf>
    <xf numFmtId="0" fontId="7" fillId="0" borderId="3" xfId="0" applyFont="1" applyBorder="1"/>
    <xf numFmtId="0" fontId="7" fillId="0" borderId="4" xfId="0" applyFont="1" applyBorder="1"/>
    <xf numFmtId="0" fontId="4" fillId="0" borderId="2" xfId="0" applyFont="1" applyBorder="1" applyAlignment="1">
      <alignment horizontal="left" vertical="center" wrapText="1"/>
    </xf>
    <xf numFmtId="9" fontId="17" fillId="0" borderId="2" xfId="0" applyNumberFormat="1" applyFont="1" applyBorder="1" applyAlignment="1">
      <alignment horizontal="right" vertical="center" wrapText="1"/>
    </xf>
    <xf numFmtId="0" fontId="4" fillId="0" borderId="2" xfId="0" applyFont="1" applyBorder="1" applyAlignment="1">
      <alignment horizontal="left" vertical="center"/>
    </xf>
    <xf numFmtId="0" fontId="20" fillId="0" borderId="0" xfId="0" applyFont="1" applyAlignment="1">
      <alignment horizontal="center" vertical="top" wrapText="1"/>
    </xf>
    <xf numFmtId="0" fontId="14" fillId="0" borderId="2" xfId="0" applyFont="1" applyBorder="1" applyAlignment="1">
      <alignment horizontal="right" vertical="center" wrapText="1"/>
    </xf>
    <xf numFmtId="0" fontId="5" fillId="0" borderId="0" xfId="0" applyFont="1" applyAlignment="1">
      <alignment horizontal="center" vertical="center" wrapText="1"/>
    </xf>
    <xf numFmtId="0" fontId="29" fillId="8" borderId="6" xfId="0" applyFont="1" applyFill="1" applyBorder="1" applyAlignment="1">
      <alignment horizontal="left" vertical="center" wrapText="1"/>
    </xf>
    <xf numFmtId="0" fontId="7" fillId="0" borderId="7" xfId="0" applyFont="1" applyBorder="1"/>
    <xf numFmtId="0" fontId="7" fillId="0" borderId="8" xfId="0" applyFont="1" applyBorder="1"/>
    <xf numFmtId="0" fontId="29" fillId="7" borderId="6" xfId="0" applyFont="1" applyFill="1" applyBorder="1" applyAlignment="1">
      <alignment horizontal="left" vertical="center" wrapText="1"/>
    </xf>
    <xf numFmtId="0" fontId="26" fillId="5" borderId="6" xfId="0" applyFont="1" applyFill="1" applyBorder="1" applyAlignment="1">
      <alignment horizontal="center" vertical="center" wrapText="1"/>
    </xf>
    <xf numFmtId="0" fontId="26" fillId="6" borderId="6" xfId="0" applyFont="1" applyFill="1" applyBorder="1" applyAlignment="1">
      <alignment horizontal="left" vertical="center" wrapText="1"/>
    </xf>
    <xf numFmtId="0" fontId="26" fillId="0" borderId="0" xfId="0" applyFont="1" applyAlignment="1">
      <alignment horizontal="center" vertical="center" wrapText="1"/>
    </xf>
    <xf numFmtId="0" fontId="9" fillId="0" borderId="0" xfId="0" applyFont="1" applyAlignment="1">
      <alignment horizontal="center" vertical="center" wrapText="1"/>
    </xf>
    <xf numFmtId="0" fontId="6" fillId="0" borderId="0" xfId="0" applyFont="1" applyAlignment="1">
      <alignment horizontal="center" vertical="center"/>
    </xf>
    <xf numFmtId="0" fontId="26" fillId="0" borderId="0" xfId="0" applyFont="1" applyAlignment="1">
      <alignment horizontal="center" vertical="top"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26" fillId="0" borderId="0" xfId="0" applyFont="1" applyAlignment="1">
      <alignment horizontal="center"/>
    </xf>
    <xf numFmtId="0" fontId="29" fillId="4" borderId="6" xfId="0" applyFont="1" applyFill="1" applyBorder="1" applyAlignment="1">
      <alignment horizontal="left" vertical="center"/>
    </xf>
    <xf numFmtId="0" fontId="26" fillId="5" borderId="6" xfId="0" applyFont="1" applyFill="1" applyBorder="1" applyAlignment="1">
      <alignment horizontal="left" vertical="center" wrapText="1"/>
    </xf>
    <xf numFmtId="0" fontId="29" fillId="4" borderId="6" xfId="0" applyFont="1" applyFill="1" applyBorder="1" applyAlignment="1">
      <alignment horizontal="left"/>
    </xf>
    <xf numFmtId="0" fontId="26" fillId="0" borderId="0" xfId="0" applyFont="1" applyAlignment="1">
      <alignment horizontal="left" vertical="center"/>
    </xf>
    <xf numFmtId="0" fontId="28" fillId="0" borderId="0" xfId="0" applyFont="1" applyAlignment="1">
      <alignment horizontal="left" vertical="center"/>
    </xf>
    <xf numFmtId="0" fontId="31" fillId="8" borderId="6" xfId="0" applyFont="1" applyFill="1" applyBorder="1" applyAlignment="1">
      <alignment horizontal="left" vertical="center" wrapText="1"/>
    </xf>
    <xf numFmtId="0" fontId="33" fillId="7" borderId="6" xfId="0" applyFont="1" applyFill="1" applyBorder="1" applyAlignment="1">
      <alignment horizontal="left" vertical="top"/>
    </xf>
    <xf numFmtId="0" fontId="26" fillId="9" borderId="6" xfId="0" applyFont="1" applyFill="1" applyBorder="1" applyAlignment="1">
      <alignment horizontal="right" vertical="center"/>
    </xf>
    <xf numFmtId="0" fontId="7" fillId="0" borderId="10" xfId="0" applyFont="1" applyBorder="1"/>
    <xf numFmtId="0" fontId="31" fillId="7" borderId="6" xfId="0" applyFont="1" applyFill="1" applyBorder="1" applyAlignment="1">
      <alignment horizontal="left" vertical="center" wrapText="1"/>
    </xf>
    <xf numFmtId="0" fontId="26" fillId="10" borderId="6" xfId="0" applyFont="1" applyFill="1" applyBorder="1" applyAlignment="1">
      <alignment horizontal="right" vertical="center"/>
    </xf>
    <xf numFmtId="0" fontId="28" fillId="0" borderId="0" xfId="0" applyFont="1" applyAlignment="1">
      <alignment horizontal="left" vertical="center" wrapText="1"/>
    </xf>
    <xf numFmtId="0" fontId="11" fillId="0" borderId="0" xfId="0" applyFont="1" applyAlignment="1">
      <alignment horizontal="center" vertical="center" wrapText="1"/>
    </xf>
    <xf numFmtId="0" fontId="10" fillId="0" borderId="0" xfId="0" quotePrefix="1" applyFont="1" applyAlignment="1">
      <alignment horizontal="left" vertical="center"/>
    </xf>
    <xf numFmtId="0" fontId="42" fillId="0" borderId="0" xfId="0" applyFont="1" applyAlignment="1">
      <alignment horizontal="left" vertical="center" wrapText="1"/>
    </xf>
    <xf numFmtId="0" fontId="11" fillId="0" borderId="0" xfId="0" applyFont="1" applyAlignment="1">
      <alignment horizontal="center"/>
    </xf>
    <xf numFmtId="0" fontId="53" fillId="0" borderId="0" xfId="0" applyFont="1" applyAlignment="1">
      <alignment horizontal="center"/>
    </xf>
    <xf numFmtId="0" fontId="53" fillId="0" borderId="0" xfId="0" applyFont="1" applyAlignment="1">
      <alignment horizontal="left" vertical="center"/>
    </xf>
    <xf numFmtId="0" fontId="53" fillId="0" borderId="0" xfId="0" applyFont="1"/>
    <xf numFmtId="0" fontId="55" fillId="0" borderId="16" xfId="0" applyFont="1" applyBorder="1" applyAlignment="1">
      <alignment horizontal="right" vertical="center" wrapText="1"/>
    </xf>
    <xf numFmtId="0" fontId="7" fillId="0" borderId="16" xfId="0" applyFont="1" applyBorder="1"/>
    <xf numFmtId="9" fontId="17" fillId="0" borderId="16" xfId="0" applyNumberFormat="1" applyFont="1" applyBorder="1" applyAlignment="1">
      <alignment horizontal="right" vertical="center" wrapText="1"/>
    </xf>
    <xf numFmtId="0" fontId="7" fillId="0" borderId="16" xfId="0" applyFont="1" applyBorder="1" applyAlignment="1">
      <alignment horizontal="right"/>
    </xf>
    <xf numFmtId="0" fontId="54" fillId="0" borderId="13" xfId="0" applyFont="1" applyBorder="1" applyAlignment="1">
      <alignment horizontal="center" wrapText="1"/>
    </xf>
    <xf numFmtId="0" fontId="7" fillId="0" borderId="13" xfId="0" applyFont="1" applyBorder="1"/>
    <xf numFmtId="9" fontId="16" fillId="0" borderId="16" xfId="0" applyNumberFormat="1" applyFont="1" applyBorder="1" applyAlignment="1">
      <alignment horizontal="left" vertical="center" wrapText="1"/>
    </xf>
    <xf numFmtId="0" fontId="63" fillId="0" borderId="13" xfId="3" applyFont="1"/>
    <xf numFmtId="0" fontId="64" fillId="0" borderId="13" xfId="3" applyFont="1"/>
    <xf numFmtId="0" fontId="65" fillId="0" borderId="13" xfId="3" quotePrefix="1" applyFont="1" applyAlignment="1">
      <alignment horizontal="left" vertical="center"/>
    </xf>
    <xf numFmtId="0" fontId="26" fillId="0" borderId="13" xfId="3" applyFont="1" applyAlignment="1">
      <alignment horizontal="center" vertical="center" wrapText="1"/>
    </xf>
    <xf numFmtId="0" fontId="43" fillId="0" borderId="14" xfId="0" applyFont="1" applyBorder="1" applyAlignment="1">
      <alignment horizontal="left" vertical="center" wrapText="1"/>
    </xf>
    <xf numFmtId="0" fontId="7" fillId="0" borderId="15" xfId="0" applyFont="1" applyBorder="1"/>
    <xf numFmtId="0" fontId="7" fillId="0" borderId="11" xfId="0" applyFont="1" applyBorder="1"/>
    <xf numFmtId="0" fontId="44" fillId="0" borderId="14" xfId="0" applyFont="1" applyBorder="1" applyAlignment="1">
      <alignment horizontal="center" vertical="center"/>
    </xf>
    <xf numFmtId="0" fontId="44" fillId="0" borderId="2" xfId="0" applyFont="1" applyBorder="1" applyAlignment="1">
      <alignment horizontal="center" vertical="center"/>
    </xf>
    <xf numFmtId="0" fontId="9" fillId="0" borderId="13" xfId="3" applyFont="1" applyAlignment="1">
      <alignment horizontal="center" vertical="center" wrapText="1"/>
    </xf>
    <xf numFmtId="0" fontId="24" fillId="0" borderId="13" xfId="3" applyFont="1"/>
    <xf numFmtId="0" fontId="4" fillId="0" borderId="13" xfId="3" applyFont="1" applyAlignment="1">
      <alignment horizontal="center" vertical="center"/>
    </xf>
    <xf numFmtId="0" fontId="26" fillId="0" borderId="13" xfId="3" applyFont="1" applyAlignment="1">
      <alignment horizontal="center" vertical="top" wrapText="1"/>
    </xf>
    <xf numFmtId="0" fontId="26" fillId="0" borderId="13" xfId="3" applyFont="1" applyAlignment="1">
      <alignment vertical="top" wrapText="1"/>
    </xf>
    <xf numFmtId="0" fontId="26" fillId="0" borderId="13" xfId="3" applyFont="1" applyAlignment="1">
      <alignment horizontal="center"/>
    </xf>
    <xf numFmtId="0" fontId="27" fillId="0" borderId="13" xfId="3" applyFont="1" applyAlignment="1">
      <alignment horizontal="center" vertical="center" wrapText="1"/>
    </xf>
    <xf numFmtId="0" fontId="28" fillId="0" borderId="13" xfId="3" applyFont="1" applyAlignment="1">
      <alignment horizontal="center" vertical="center" wrapText="1"/>
    </xf>
    <xf numFmtId="0" fontId="26" fillId="0" borderId="13" xfId="3" applyFont="1" applyAlignment="1">
      <alignment horizontal="center" vertical="center"/>
    </xf>
    <xf numFmtId="0" fontId="26" fillId="0" borderId="13" xfId="3" applyFont="1" applyAlignment="1">
      <alignment horizontal="center"/>
    </xf>
    <xf numFmtId="0" fontId="29" fillId="0" borderId="6" xfId="3" applyFont="1" applyBorder="1" applyAlignment="1">
      <alignment horizontal="left" vertical="center"/>
    </xf>
    <xf numFmtId="0" fontId="35" fillId="0" borderId="10" xfId="3" applyFont="1" applyBorder="1"/>
    <xf numFmtId="0" fontId="35" fillId="0" borderId="8" xfId="3" applyFont="1" applyBorder="1"/>
    <xf numFmtId="0" fontId="29" fillId="0" borderId="6" xfId="3" applyFont="1" applyBorder="1" applyAlignment="1">
      <alignment horizontal="left"/>
    </xf>
    <xf numFmtId="0" fontId="26" fillId="0" borderId="13" xfId="3" applyFont="1" applyAlignment="1">
      <alignment horizontal="left" vertical="center"/>
    </xf>
    <xf numFmtId="0" fontId="28" fillId="0" borderId="13" xfId="3" applyFont="1" applyAlignment="1">
      <alignment horizontal="left" vertical="center"/>
    </xf>
    <xf numFmtId="0" fontId="26" fillId="0" borderId="16" xfId="3" applyFont="1" applyBorder="1" applyAlignment="1">
      <alignment horizontal="center" vertical="center" wrapText="1"/>
    </xf>
    <xf numFmtId="0" fontId="26" fillId="0" borderId="16" xfId="3" applyFont="1" applyBorder="1" applyAlignment="1">
      <alignment horizontal="left" vertical="center" wrapText="1"/>
    </xf>
    <xf numFmtId="0" fontId="35" fillId="0" borderId="16" xfId="3" applyFont="1" applyBorder="1"/>
    <xf numFmtId="0" fontId="26" fillId="0" borderId="16" xfId="3" applyFont="1" applyBorder="1" applyAlignment="1">
      <alignment horizontal="center" vertical="center" wrapText="1"/>
    </xf>
    <xf numFmtId="0" fontId="49" fillId="0" borderId="16" xfId="3" applyFont="1" applyBorder="1" applyAlignment="1">
      <alignment horizontal="justify" vertical="center" wrapText="1"/>
    </xf>
    <xf numFmtId="0" fontId="24" fillId="0" borderId="16" xfId="3" applyFont="1" applyBorder="1" applyAlignment="1">
      <alignment horizontal="justify" vertical="center"/>
    </xf>
    <xf numFmtId="0" fontId="26" fillId="0" borderId="16" xfId="3" applyFont="1" applyBorder="1" applyAlignment="1">
      <alignment horizontal="left" vertical="center" wrapText="1"/>
    </xf>
    <xf numFmtId="0" fontId="26" fillId="0" borderId="16" xfId="3" applyFont="1" applyBorder="1" applyAlignment="1">
      <alignment horizontal="center" vertical="center"/>
    </xf>
    <xf numFmtId="0" fontId="29" fillId="0" borderId="16" xfId="3" applyFont="1" applyBorder="1" applyAlignment="1">
      <alignment horizontal="center" vertical="center"/>
    </xf>
    <xf numFmtId="0" fontId="31" fillId="0" borderId="16" xfId="3" applyFont="1" applyBorder="1" applyAlignment="1">
      <alignment horizontal="justify" vertical="center" wrapText="1"/>
    </xf>
    <xf numFmtId="0" fontId="29" fillId="0" borderId="16" xfId="3" applyFont="1" applyBorder="1" applyAlignment="1">
      <alignment horizontal="center" vertical="center" wrapText="1"/>
    </xf>
    <xf numFmtId="0" fontId="26" fillId="0" borderId="16" xfId="3" applyFont="1" applyBorder="1" applyAlignment="1">
      <alignment horizontal="right" vertical="center"/>
    </xf>
    <xf numFmtId="0" fontId="35" fillId="0" borderId="16" xfId="3" applyFont="1" applyBorder="1" applyAlignment="1">
      <alignment horizontal="right"/>
    </xf>
    <xf numFmtId="0" fontId="26" fillId="0" borderId="16" xfId="3" applyFont="1" applyBorder="1"/>
    <xf numFmtId="0" fontId="26" fillId="0" borderId="17" xfId="3" applyFont="1" applyBorder="1" applyAlignment="1">
      <alignment horizontal="left" vertical="center" wrapText="1"/>
    </xf>
    <xf numFmtId="0" fontId="26" fillId="0" borderId="19" xfId="3" applyFont="1" applyBorder="1" applyAlignment="1">
      <alignment horizontal="left" vertical="center" wrapText="1"/>
    </xf>
    <xf numFmtId="0" fontId="26" fillId="0" borderId="20" xfId="3" applyFont="1" applyBorder="1" applyAlignment="1">
      <alignment horizontal="left" vertical="center" wrapText="1"/>
    </xf>
    <xf numFmtId="0" fontId="26" fillId="0" borderId="21" xfId="3" applyFont="1" applyBorder="1" applyAlignment="1">
      <alignment horizontal="right" vertical="center"/>
    </xf>
    <xf numFmtId="0" fontId="35" fillId="0" borderId="22" xfId="3" applyFont="1" applyBorder="1" applyAlignment="1">
      <alignment horizontal="right"/>
    </xf>
    <xf numFmtId="0" fontId="35" fillId="0" borderId="23" xfId="3" applyFont="1" applyBorder="1" applyAlignment="1">
      <alignment horizontal="right"/>
    </xf>
    <xf numFmtId="0" fontId="26" fillId="0" borderId="24" xfId="3" applyFont="1" applyBorder="1" applyAlignment="1">
      <alignment horizontal="center" vertical="center"/>
    </xf>
    <xf numFmtId="0" fontId="26" fillId="0" borderId="24" xfId="3" applyFont="1" applyBorder="1" applyAlignment="1">
      <alignment wrapText="1"/>
    </xf>
    <xf numFmtId="0" fontId="26" fillId="0" borderId="21" xfId="3" applyFont="1" applyBorder="1" applyAlignment="1">
      <alignment horizontal="right" vertical="center"/>
    </xf>
    <xf numFmtId="0" fontId="35" fillId="0" borderId="22" xfId="3" applyFont="1" applyBorder="1" applyAlignment="1">
      <alignment horizontal="right"/>
    </xf>
    <xf numFmtId="0" fontId="35" fillId="0" borderId="23" xfId="3" applyFont="1" applyBorder="1" applyAlignment="1">
      <alignment horizontal="right"/>
    </xf>
    <xf numFmtId="0" fontId="26" fillId="0" borderId="6" xfId="3" applyFont="1" applyBorder="1" applyAlignment="1">
      <alignment horizontal="right" vertical="center"/>
    </xf>
    <xf numFmtId="0" fontId="35" fillId="0" borderId="10" xfId="3" applyFont="1" applyBorder="1" applyAlignment="1">
      <alignment horizontal="right"/>
    </xf>
    <xf numFmtId="0" fontId="35" fillId="0" borderId="8" xfId="3" applyFont="1" applyBorder="1" applyAlignment="1">
      <alignment horizontal="right"/>
    </xf>
    <xf numFmtId="0" fontId="26" fillId="0" borderId="9" xfId="3" applyFont="1" applyBorder="1" applyAlignment="1">
      <alignment horizontal="center" vertical="center"/>
    </xf>
    <xf numFmtId="0" fontId="26" fillId="0" borderId="9" xfId="3" applyFont="1" applyBorder="1" applyAlignment="1">
      <alignment horizontal="center" vertical="center" wrapText="1"/>
    </xf>
    <xf numFmtId="0" fontId="28" fillId="0" borderId="13" xfId="3" applyFont="1" applyAlignment="1">
      <alignment horizontal="left" vertical="center" wrapText="1"/>
    </xf>
    <xf numFmtId="2" fontId="26" fillId="0" borderId="24" xfId="3" applyNumberFormat="1" applyFont="1" applyBorder="1" applyAlignment="1">
      <alignment horizontal="center" vertical="center"/>
    </xf>
    <xf numFmtId="2" fontId="26" fillId="0" borderId="9" xfId="3" applyNumberFormat="1" applyFont="1" applyBorder="1" applyAlignment="1">
      <alignment horizontal="center" vertical="center"/>
    </xf>
    <xf numFmtId="0" fontId="29" fillId="13" borderId="16" xfId="3" applyFont="1" applyFill="1" applyBorder="1" applyAlignment="1">
      <alignment horizontal="center" vertical="center"/>
    </xf>
  </cellXfs>
  <cellStyles count="4">
    <cellStyle name="Normal" xfId="0" builtinId="0"/>
    <cellStyle name="Normal 2" xfId="3" xr:uid="{57BA9D04-D6BA-4699-BEC6-18D5EC1B85DF}"/>
    <cellStyle name="Normal 3" xfId="1" xr:uid="{00000000-0005-0000-0000-000001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1277471</xdr:colOff>
      <xdr:row>1</xdr:row>
      <xdr:rowOff>134470</xdr:rowOff>
    </xdr:from>
    <xdr:to>
      <xdr:col>1</xdr:col>
      <xdr:colOff>3283324</xdr:colOff>
      <xdr:row>1</xdr:row>
      <xdr:rowOff>134470</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1714500" y="448235"/>
          <a:ext cx="2005853" cy="0"/>
        </a:xfrm>
        <a:prstGeom prst="line">
          <a:avLst/>
        </a:prstGeom>
        <a:ln w="3175"/>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1876425</xdr:colOff>
      <xdr:row>2</xdr:row>
      <xdr:rowOff>47625</xdr:rowOff>
    </xdr:from>
    <xdr:to>
      <xdr:col>1</xdr:col>
      <xdr:colOff>3600450</xdr:colOff>
      <xdr:row>2</xdr:row>
      <xdr:rowOff>47625</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2314575" y="409575"/>
          <a:ext cx="1724025" cy="0"/>
        </a:xfrm>
        <a:prstGeom prst="line">
          <a:avLst/>
        </a:prstGeom>
        <a:ln w="3175"/>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265"/>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4.33203125" defaultRowHeight="15" customHeight="1" x14ac:dyDescent="0.3"/>
  <cols>
    <col min="1" max="1" width="4.88671875" customWidth="1"/>
    <col min="2" max="2" width="58.109375" customWidth="1"/>
    <col min="3" max="3" width="16.109375" customWidth="1"/>
    <col min="4" max="5" width="10.109375" customWidth="1"/>
    <col min="6" max="7" width="23.109375" customWidth="1"/>
    <col min="8" max="8" width="14.88671875" customWidth="1"/>
    <col min="9" max="9" width="10.33203125" customWidth="1"/>
    <col min="10" max="18" width="11.77734375" customWidth="1"/>
  </cols>
  <sheetData>
    <row r="1" spans="1:18" ht="65.25" customHeight="1" x14ac:dyDescent="0.3">
      <c r="A1" s="206" t="s">
        <v>24</v>
      </c>
      <c r="B1" s="194"/>
      <c r="C1" s="194"/>
      <c r="D1" s="194"/>
      <c r="E1" s="194"/>
      <c r="F1" s="194"/>
      <c r="G1" s="194"/>
      <c r="H1" s="194"/>
      <c r="I1" s="194"/>
      <c r="J1" s="11"/>
      <c r="K1" s="11"/>
      <c r="L1" s="11"/>
      <c r="M1" s="11"/>
      <c r="N1" s="11"/>
      <c r="O1" s="11"/>
      <c r="P1" s="11"/>
      <c r="Q1" s="11"/>
      <c r="R1" s="11"/>
    </row>
    <row r="2" spans="1:18" ht="49.5" customHeight="1" x14ac:dyDescent="0.3">
      <c r="A2" s="12" t="s">
        <v>1</v>
      </c>
      <c r="B2" s="13" t="s">
        <v>2</v>
      </c>
      <c r="C2" s="14" t="s">
        <v>6</v>
      </c>
      <c r="D2" s="13" t="s">
        <v>7</v>
      </c>
      <c r="E2" s="15" t="s">
        <v>8</v>
      </c>
      <c r="F2" s="16" t="s">
        <v>25</v>
      </c>
      <c r="G2" s="16" t="s">
        <v>26</v>
      </c>
      <c r="H2" s="16" t="s">
        <v>27</v>
      </c>
      <c r="I2" s="16" t="s">
        <v>28</v>
      </c>
      <c r="J2" s="11"/>
      <c r="K2" s="11"/>
      <c r="L2" s="11"/>
      <c r="M2" s="11"/>
      <c r="N2" s="11"/>
      <c r="O2" s="11"/>
      <c r="P2" s="11"/>
      <c r="Q2" s="11"/>
      <c r="R2" s="11"/>
    </row>
    <row r="3" spans="1:18" ht="163.5" customHeight="1" x14ac:dyDescent="0.3">
      <c r="A3" s="17">
        <v>1</v>
      </c>
      <c r="B3" s="17">
        <v>2</v>
      </c>
      <c r="C3" s="17" t="s">
        <v>29</v>
      </c>
      <c r="D3" s="17" t="s">
        <v>30</v>
      </c>
      <c r="E3" s="17" t="s">
        <v>31</v>
      </c>
      <c r="F3" s="17" t="s">
        <v>32</v>
      </c>
      <c r="G3" s="17" t="s">
        <v>33</v>
      </c>
      <c r="H3" s="17" t="s">
        <v>34</v>
      </c>
      <c r="I3" s="17" t="s">
        <v>35</v>
      </c>
      <c r="J3" s="18"/>
      <c r="K3" s="18"/>
      <c r="L3" s="18"/>
      <c r="M3" s="18"/>
      <c r="N3" s="18"/>
      <c r="O3" s="18"/>
      <c r="P3" s="18"/>
      <c r="Q3" s="18"/>
      <c r="R3" s="18"/>
    </row>
    <row r="4" spans="1:18" ht="20.25" customHeight="1" x14ac:dyDescent="0.3">
      <c r="A4" s="12" t="s">
        <v>10</v>
      </c>
      <c r="B4" s="19" t="s">
        <v>11</v>
      </c>
      <c r="C4" s="19"/>
      <c r="D4" s="19"/>
      <c r="E4" s="19"/>
      <c r="F4" s="19"/>
      <c r="G4" s="19"/>
      <c r="H4" s="19"/>
      <c r="I4" s="19"/>
      <c r="J4" s="11"/>
      <c r="K4" s="11"/>
      <c r="L4" s="11"/>
      <c r="M4" s="11"/>
      <c r="N4" s="11"/>
      <c r="O4" s="11"/>
      <c r="P4" s="11"/>
      <c r="Q4" s="11"/>
      <c r="R4" s="11"/>
    </row>
    <row r="5" spans="1:18" ht="84" x14ac:dyDescent="0.3">
      <c r="A5" s="3">
        <v>2</v>
      </c>
      <c r="B5" s="4" t="s">
        <v>36</v>
      </c>
      <c r="C5" s="3" t="e">
        <f>#REF!</f>
        <v>#REF!</v>
      </c>
      <c r="D5" s="6" t="e">
        <f>#REF!</f>
        <v>#REF!</v>
      </c>
      <c r="E5" s="20" t="e">
        <f>C5*D5</f>
        <v>#REF!</v>
      </c>
      <c r="F5" s="21">
        <v>1</v>
      </c>
      <c r="G5" s="21">
        <v>1</v>
      </c>
      <c r="H5" s="22" t="e">
        <f>C5*(30%*F5+70%*G5)</f>
        <v>#REF!</v>
      </c>
      <c r="I5" s="22" t="e">
        <f>D5*H5</f>
        <v>#REF!</v>
      </c>
      <c r="J5" s="11"/>
      <c r="K5" s="11"/>
      <c r="L5" s="11"/>
      <c r="M5" s="11"/>
      <c r="N5" s="11"/>
      <c r="O5" s="11"/>
      <c r="P5" s="11"/>
      <c r="Q5" s="11"/>
      <c r="R5" s="11"/>
    </row>
    <row r="6" spans="1:18" ht="16.8" hidden="1" x14ac:dyDescent="0.3">
      <c r="A6" s="3"/>
      <c r="B6" s="23" t="s">
        <v>37</v>
      </c>
      <c r="C6" s="24" t="e">
        <f>SUM(C5)</f>
        <v>#REF!</v>
      </c>
      <c r="D6" s="25"/>
      <c r="E6" s="25"/>
      <c r="F6" s="26"/>
      <c r="G6" s="202" t="s">
        <v>38</v>
      </c>
      <c r="H6" s="200"/>
      <c r="I6" s="24" t="e">
        <f>MIN(SUM(I5),C6)</f>
        <v>#REF!</v>
      </c>
      <c r="J6" s="11"/>
      <c r="K6" s="11"/>
      <c r="L6" s="11"/>
      <c r="M6" s="11"/>
      <c r="N6" s="11"/>
      <c r="O6" s="11"/>
      <c r="P6" s="11"/>
      <c r="Q6" s="11"/>
      <c r="R6" s="11"/>
    </row>
    <row r="7" spans="1:18" ht="38.25" hidden="1" customHeight="1" x14ac:dyDescent="0.3">
      <c r="A7" s="3"/>
      <c r="B7" s="27" t="s">
        <v>39</v>
      </c>
      <c r="C7" s="28" t="e">
        <f>I6/C6</f>
        <v>#REF!</v>
      </c>
      <c r="D7" s="198" t="s">
        <v>40</v>
      </c>
      <c r="E7" s="199"/>
      <c r="F7" s="199"/>
      <c r="G7" s="199"/>
      <c r="H7" s="199"/>
      <c r="I7" s="200"/>
      <c r="J7" s="11"/>
      <c r="K7" s="11"/>
      <c r="L7" s="11"/>
      <c r="M7" s="11"/>
      <c r="N7" s="11"/>
      <c r="O7" s="11"/>
      <c r="P7" s="11"/>
      <c r="Q7" s="11"/>
      <c r="R7" s="11"/>
    </row>
    <row r="8" spans="1:18" ht="24" customHeight="1" x14ac:dyDescent="0.3">
      <c r="A8" s="2" t="s">
        <v>12</v>
      </c>
      <c r="B8" s="29" t="s">
        <v>13</v>
      </c>
      <c r="C8" s="30"/>
      <c r="D8" s="30"/>
      <c r="E8" s="30"/>
      <c r="F8" s="30"/>
      <c r="G8" s="30"/>
      <c r="H8" s="30"/>
      <c r="I8" s="30"/>
      <c r="J8" s="11"/>
      <c r="K8" s="11"/>
      <c r="L8" s="11"/>
      <c r="M8" s="11"/>
      <c r="N8" s="11"/>
      <c r="O8" s="11"/>
      <c r="P8" s="11"/>
      <c r="Q8" s="11"/>
      <c r="R8" s="11"/>
    </row>
    <row r="9" spans="1:18" ht="16.8" x14ac:dyDescent="0.3">
      <c r="A9" s="3"/>
      <c r="B9" s="4"/>
      <c r="C9" s="3"/>
      <c r="D9" s="5"/>
      <c r="E9" s="5"/>
      <c r="F9" s="3"/>
      <c r="G9" s="31"/>
      <c r="H9" s="31"/>
      <c r="I9" s="31"/>
      <c r="J9" s="11"/>
      <c r="K9" s="11"/>
      <c r="L9" s="11"/>
      <c r="M9" s="11"/>
      <c r="N9" s="11"/>
      <c r="O9" s="11"/>
      <c r="P9" s="11"/>
      <c r="Q9" s="11"/>
      <c r="R9" s="11"/>
    </row>
    <row r="10" spans="1:18" ht="16.8" hidden="1" x14ac:dyDescent="0.3">
      <c r="A10" s="3"/>
      <c r="B10" s="23" t="s">
        <v>41</v>
      </c>
      <c r="C10" s="9">
        <f>SUM(C9)</f>
        <v>0</v>
      </c>
      <c r="D10" s="6"/>
      <c r="E10" s="6"/>
      <c r="F10" s="21"/>
      <c r="G10" s="202" t="s">
        <v>42</v>
      </c>
      <c r="H10" s="200"/>
      <c r="I10" s="9">
        <f>MIN(SUM(I9),C10)</f>
        <v>0</v>
      </c>
      <c r="J10" s="11"/>
      <c r="K10" s="11"/>
      <c r="L10" s="11"/>
      <c r="M10" s="11"/>
      <c r="N10" s="11"/>
      <c r="O10" s="11"/>
      <c r="P10" s="11"/>
      <c r="Q10" s="11"/>
      <c r="R10" s="11"/>
    </row>
    <row r="11" spans="1:18" ht="38.25" hidden="1" customHeight="1" x14ac:dyDescent="0.3">
      <c r="A11" s="3"/>
      <c r="B11" s="27" t="s">
        <v>43</v>
      </c>
      <c r="C11" s="28">
        <f>IF(C9=0,1,I9/C9)</f>
        <v>1</v>
      </c>
      <c r="D11" s="198" t="s">
        <v>44</v>
      </c>
      <c r="E11" s="199"/>
      <c r="F11" s="199"/>
      <c r="G11" s="199"/>
      <c r="H11" s="199"/>
      <c r="I11" s="200"/>
      <c r="J11" s="11"/>
      <c r="K11" s="11"/>
      <c r="L11" s="11"/>
      <c r="M11" s="11"/>
      <c r="N11" s="11"/>
      <c r="O11" s="11"/>
      <c r="P11" s="11"/>
      <c r="Q11" s="11"/>
      <c r="R11" s="11"/>
    </row>
    <row r="12" spans="1:18" ht="16.8" x14ac:dyDescent="0.3">
      <c r="A12" s="3"/>
      <c r="B12" s="4"/>
      <c r="C12" s="3"/>
      <c r="D12" s="5"/>
      <c r="E12" s="5"/>
      <c r="F12" s="3"/>
      <c r="G12" s="31"/>
      <c r="H12" s="31"/>
      <c r="I12" s="31"/>
      <c r="J12" s="11"/>
      <c r="K12" s="11"/>
      <c r="L12" s="11"/>
      <c r="M12" s="11"/>
      <c r="N12" s="11"/>
      <c r="O12" s="11"/>
      <c r="P12" s="11"/>
      <c r="Q12" s="11"/>
      <c r="R12" s="11"/>
    </row>
    <row r="13" spans="1:18" ht="26.25" customHeight="1" x14ac:dyDescent="0.3">
      <c r="A13" s="2" t="s">
        <v>14</v>
      </c>
      <c r="B13" s="29" t="s">
        <v>15</v>
      </c>
      <c r="C13" s="30"/>
      <c r="D13" s="30"/>
      <c r="E13" s="30"/>
      <c r="F13" s="30"/>
      <c r="G13" s="30"/>
      <c r="H13" s="30"/>
      <c r="I13" s="30"/>
      <c r="J13" s="11"/>
      <c r="K13" s="11"/>
      <c r="L13" s="11"/>
      <c r="M13" s="11"/>
      <c r="N13" s="11"/>
      <c r="O13" s="11"/>
      <c r="P13" s="11"/>
      <c r="Q13" s="11"/>
      <c r="R13" s="11"/>
    </row>
    <row r="14" spans="1:18" ht="100.8" x14ac:dyDescent="0.3">
      <c r="A14" s="3">
        <v>8</v>
      </c>
      <c r="B14" s="4" t="s">
        <v>45</v>
      </c>
      <c r="C14" s="3" t="e">
        <f>#REF!</f>
        <v>#REF!</v>
      </c>
      <c r="D14" s="21" t="e">
        <f>#REF!</f>
        <v>#REF!</v>
      </c>
      <c r="E14" s="20" t="e">
        <f>C14*D14</f>
        <v>#REF!</v>
      </c>
      <c r="F14" s="21">
        <v>1</v>
      </c>
      <c r="G14" s="21">
        <v>0.8</v>
      </c>
      <c r="H14" s="22" t="e">
        <f>C14*(30%*F14+70%*G14)</f>
        <v>#REF!</v>
      </c>
      <c r="I14" s="22" t="e">
        <f>D14*H14</f>
        <v>#REF!</v>
      </c>
      <c r="J14" s="11"/>
      <c r="K14" s="11"/>
      <c r="L14" s="11"/>
      <c r="M14" s="11"/>
      <c r="N14" s="11"/>
      <c r="O14" s="11"/>
      <c r="P14" s="11"/>
      <c r="Q14" s="11"/>
      <c r="R14" s="11"/>
    </row>
    <row r="15" spans="1:18" ht="16.8" hidden="1" x14ac:dyDescent="0.3">
      <c r="A15" s="3"/>
      <c r="B15" s="23" t="s">
        <v>46</v>
      </c>
      <c r="C15" s="9" t="e">
        <f>SUM(C14)</f>
        <v>#REF!</v>
      </c>
      <c r="D15" s="6"/>
      <c r="E15" s="6"/>
      <c r="F15" s="21"/>
      <c r="G15" s="202" t="s">
        <v>47</v>
      </c>
      <c r="H15" s="200"/>
      <c r="I15" s="9" t="e">
        <f>MIN(SUM(I14),C15)</f>
        <v>#REF!</v>
      </c>
      <c r="J15" s="11"/>
      <c r="K15" s="11"/>
      <c r="L15" s="11"/>
      <c r="M15" s="11"/>
      <c r="N15" s="11"/>
      <c r="O15" s="11"/>
      <c r="P15" s="11"/>
      <c r="Q15" s="11"/>
      <c r="R15" s="11"/>
    </row>
    <row r="16" spans="1:18" ht="38.25" hidden="1" customHeight="1" x14ac:dyDescent="0.3">
      <c r="A16" s="3"/>
      <c r="B16" s="27" t="s">
        <v>48</v>
      </c>
      <c r="C16" s="28" t="e">
        <f>IF(C14=0,1,I14/C14)</f>
        <v>#REF!</v>
      </c>
      <c r="D16" s="198" t="s">
        <v>49</v>
      </c>
      <c r="E16" s="199"/>
      <c r="F16" s="199"/>
      <c r="G16" s="199"/>
      <c r="H16" s="199"/>
      <c r="I16" s="200"/>
      <c r="J16" s="11"/>
      <c r="K16" s="11"/>
      <c r="L16" s="11"/>
      <c r="M16" s="11"/>
      <c r="N16" s="11"/>
      <c r="O16" s="11"/>
      <c r="P16" s="11"/>
      <c r="Q16" s="11"/>
      <c r="R16" s="11"/>
    </row>
    <row r="17" spans="1:18" ht="35.25" customHeight="1" x14ac:dyDescent="0.3">
      <c r="A17" s="2" t="s">
        <v>16</v>
      </c>
      <c r="B17" s="201" t="s">
        <v>50</v>
      </c>
      <c r="C17" s="199"/>
      <c r="D17" s="199"/>
      <c r="E17" s="199"/>
      <c r="F17" s="199"/>
      <c r="G17" s="199"/>
      <c r="H17" s="199"/>
      <c r="I17" s="200"/>
      <c r="J17" s="11"/>
      <c r="K17" s="11"/>
      <c r="L17" s="11"/>
      <c r="M17" s="11"/>
      <c r="N17" s="11"/>
      <c r="O17" s="11"/>
      <c r="P17" s="11"/>
      <c r="Q17" s="11"/>
      <c r="R17" s="11"/>
    </row>
    <row r="18" spans="1:18" ht="67.2" x14ac:dyDescent="0.3">
      <c r="A18" s="3">
        <v>2</v>
      </c>
      <c r="B18" s="7" t="s">
        <v>51</v>
      </c>
      <c r="C18" s="31" t="e">
        <f>#REF!</f>
        <v>#REF!</v>
      </c>
      <c r="D18" s="21" t="e">
        <f>#REF!</f>
        <v>#REF!</v>
      </c>
      <c r="E18" s="20" t="e">
        <f t="shared" ref="E18:E52" si="0">C18*D18</f>
        <v>#REF!</v>
      </c>
      <c r="F18" s="21">
        <v>0</v>
      </c>
      <c r="G18" s="21">
        <v>0.8</v>
      </c>
      <c r="H18" s="22" t="e">
        <f t="shared" ref="H18:H30" si="1">C18*(30%*F18+70%*G18)</f>
        <v>#REF!</v>
      </c>
      <c r="I18" s="22" t="e">
        <f t="shared" ref="I18:I50" si="2">D18*H18</f>
        <v>#REF!</v>
      </c>
      <c r="J18" s="11"/>
      <c r="K18" s="11"/>
      <c r="L18" s="11"/>
      <c r="M18" s="11"/>
      <c r="N18" s="11"/>
      <c r="O18" s="11"/>
      <c r="P18" s="11"/>
      <c r="Q18" s="11"/>
      <c r="R18" s="11"/>
    </row>
    <row r="19" spans="1:18" ht="84" x14ac:dyDescent="0.3">
      <c r="A19" s="3">
        <v>7</v>
      </c>
      <c r="B19" s="4" t="s">
        <v>52</v>
      </c>
      <c r="C19" s="31" t="e">
        <f>#REF!</f>
        <v>#REF!</v>
      </c>
      <c r="D19" s="21" t="e">
        <f>#REF!</f>
        <v>#REF!</v>
      </c>
      <c r="E19" s="20" t="e">
        <f t="shared" si="0"/>
        <v>#REF!</v>
      </c>
      <c r="F19" s="21">
        <v>0</v>
      </c>
      <c r="G19" s="21">
        <v>1</v>
      </c>
      <c r="H19" s="22" t="e">
        <f t="shared" si="1"/>
        <v>#REF!</v>
      </c>
      <c r="I19" s="22" t="e">
        <f t="shared" si="2"/>
        <v>#REF!</v>
      </c>
      <c r="J19" s="11"/>
      <c r="K19" s="11"/>
      <c r="L19" s="11"/>
      <c r="M19" s="11"/>
      <c r="N19" s="11"/>
      <c r="O19" s="11"/>
      <c r="P19" s="11"/>
      <c r="Q19" s="11"/>
      <c r="R19" s="11"/>
    </row>
    <row r="20" spans="1:18" ht="134.4" x14ac:dyDescent="0.3">
      <c r="A20" s="3">
        <v>13</v>
      </c>
      <c r="B20" s="4" t="s">
        <v>53</v>
      </c>
      <c r="C20" s="31" t="e">
        <f>#REF!</f>
        <v>#REF!</v>
      </c>
      <c r="D20" s="21" t="e">
        <f>#REF!</f>
        <v>#REF!</v>
      </c>
      <c r="E20" s="20" t="e">
        <f t="shared" si="0"/>
        <v>#REF!</v>
      </c>
      <c r="F20" s="21">
        <v>1</v>
      </c>
      <c r="G20" s="21">
        <v>1</v>
      </c>
      <c r="H20" s="22" t="e">
        <f t="shared" si="1"/>
        <v>#REF!</v>
      </c>
      <c r="I20" s="22" t="e">
        <f t="shared" si="2"/>
        <v>#REF!</v>
      </c>
      <c r="J20" s="11"/>
      <c r="K20" s="11"/>
      <c r="L20" s="11"/>
      <c r="M20" s="11"/>
      <c r="N20" s="11"/>
      <c r="O20" s="11"/>
      <c r="P20" s="11"/>
      <c r="Q20" s="11"/>
      <c r="R20" s="11"/>
    </row>
    <row r="21" spans="1:18" ht="15.75" customHeight="1" x14ac:dyDescent="0.3">
      <c r="A21" s="3">
        <v>14</v>
      </c>
      <c r="B21" s="4" t="s">
        <v>54</v>
      </c>
      <c r="C21" s="31" t="e">
        <f>#REF!</f>
        <v>#REF!</v>
      </c>
      <c r="D21" s="21" t="e">
        <f>#REF!</f>
        <v>#REF!</v>
      </c>
      <c r="E21" s="20" t="e">
        <f t="shared" si="0"/>
        <v>#REF!</v>
      </c>
      <c r="F21" s="21">
        <v>1</v>
      </c>
      <c r="G21" s="21">
        <v>1</v>
      </c>
      <c r="H21" s="22" t="e">
        <f t="shared" si="1"/>
        <v>#REF!</v>
      </c>
      <c r="I21" s="22" t="e">
        <f t="shared" si="2"/>
        <v>#REF!</v>
      </c>
      <c r="J21" s="11"/>
      <c r="K21" s="11"/>
      <c r="L21" s="11"/>
      <c r="M21" s="11"/>
      <c r="N21" s="11"/>
      <c r="O21" s="11"/>
      <c r="P21" s="11"/>
      <c r="Q21" s="11"/>
      <c r="R21" s="11"/>
    </row>
    <row r="22" spans="1:18" ht="15.75" customHeight="1" x14ac:dyDescent="0.3">
      <c r="A22" s="3">
        <v>16</v>
      </c>
      <c r="B22" s="4" t="s">
        <v>55</v>
      </c>
      <c r="C22" s="31" t="e">
        <f>#REF!</f>
        <v>#REF!</v>
      </c>
      <c r="D22" s="21" t="e">
        <f>#REF!</f>
        <v>#REF!</v>
      </c>
      <c r="E22" s="20" t="e">
        <f t="shared" si="0"/>
        <v>#REF!</v>
      </c>
      <c r="F22" s="21">
        <v>0.6</v>
      </c>
      <c r="G22" s="21">
        <v>1</v>
      </c>
      <c r="H22" s="22" t="e">
        <f t="shared" si="1"/>
        <v>#REF!</v>
      </c>
      <c r="I22" s="22" t="e">
        <f t="shared" si="2"/>
        <v>#REF!</v>
      </c>
      <c r="J22" s="11"/>
      <c r="K22" s="11"/>
      <c r="L22" s="11"/>
      <c r="M22" s="11"/>
      <c r="N22" s="11"/>
      <c r="O22" s="11"/>
      <c r="P22" s="11"/>
      <c r="Q22" s="11"/>
      <c r="R22" s="11"/>
    </row>
    <row r="23" spans="1:18" ht="15.75" customHeight="1" x14ac:dyDescent="0.3">
      <c r="A23" s="3">
        <v>17</v>
      </c>
      <c r="B23" s="4" t="s">
        <v>56</v>
      </c>
      <c r="C23" s="31" t="e">
        <f>#REF!</f>
        <v>#REF!</v>
      </c>
      <c r="D23" s="21" t="e">
        <f>#REF!</f>
        <v>#REF!</v>
      </c>
      <c r="E23" s="20" t="e">
        <f t="shared" si="0"/>
        <v>#REF!</v>
      </c>
      <c r="F23" s="21">
        <v>1</v>
      </c>
      <c r="G23" s="21">
        <v>1</v>
      </c>
      <c r="H23" s="22" t="e">
        <f t="shared" si="1"/>
        <v>#REF!</v>
      </c>
      <c r="I23" s="22" t="e">
        <f t="shared" si="2"/>
        <v>#REF!</v>
      </c>
      <c r="J23" s="11"/>
      <c r="K23" s="11"/>
      <c r="L23" s="11"/>
      <c r="M23" s="11"/>
      <c r="N23" s="11"/>
      <c r="O23" s="11"/>
      <c r="P23" s="11"/>
      <c r="Q23" s="11"/>
      <c r="R23" s="11"/>
    </row>
    <row r="24" spans="1:18" ht="15.75" customHeight="1" x14ac:dyDescent="0.3">
      <c r="A24" s="3">
        <v>23</v>
      </c>
      <c r="B24" s="4" t="s">
        <v>57</v>
      </c>
      <c r="C24" s="31" t="e">
        <f>#REF!</f>
        <v>#REF!</v>
      </c>
      <c r="D24" s="21" t="e">
        <f>#REF!</f>
        <v>#REF!</v>
      </c>
      <c r="E24" s="20" t="e">
        <f t="shared" si="0"/>
        <v>#REF!</v>
      </c>
      <c r="F24" s="21">
        <v>1</v>
      </c>
      <c r="G24" s="21">
        <v>1</v>
      </c>
      <c r="H24" s="22" t="e">
        <f t="shared" si="1"/>
        <v>#REF!</v>
      </c>
      <c r="I24" s="22" t="e">
        <f t="shared" si="2"/>
        <v>#REF!</v>
      </c>
      <c r="J24" s="11"/>
      <c r="K24" s="11"/>
      <c r="L24" s="11"/>
      <c r="M24" s="11"/>
      <c r="N24" s="11"/>
      <c r="O24" s="11"/>
      <c r="P24" s="11"/>
      <c r="Q24" s="11"/>
      <c r="R24" s="11"/>
    </row>
    <row r="25" spans="1:18" ht="15.75" customHeight="1" x14ac:dyDescent="0.3">
      <c r="A25" s="3">
        <v>39</v>
      </c>
      <c r="B25" s="4" t="s">
        <v>58</v>
      </c>
      <c r="C25" s="31" t="e">
        <f>#REF!</f>
        <v>#REF!</v>
      </c>
      <c r="D25" s="21" t="e">
        <f>#REF!</f>
        <v>#REF!</v>
      </c>
      <c r="E25" s="20" t="e">
        <f t="shared" si="0"/>
        <v>#REF!</v>
      </c>
      <c r="F25" s="21">
        <v>1</v>
      </c>
      <c r="G25" s="21">
        <v>0.8</v>
      </c>
      <c r="H25" s="22" t="e">
        <f t="shared" si="1"/>
        <v>#REF!</v>
      </c>
      <c r="I25" s="22" t="e">
        <f t="shared" si="2"/>
        <v>#REF!</v>
      </c>
      <c r="J25" s="11"/>
      <c r="K25" s="11"/>
      <c r="L25" s="11"/>
      <c r="M25" s="11"/>
      <c r="N25" s="11"/>
      <c r="O25" s="11"/>
      <c r="P25" s="11"/>
      <c r="Q25" s="11"/>
      <c r="R25" s="11"/>
    </row>
    <row r="26" spans="1:18" ht="15.75" customHeight="1" x14ac:dyDescent="0.3">
      <c r="A26" s="3">
        <v>40</v>
      </c>
      <c r="B26" s="4" t="s">
        <v>59</v>
      </c>
      <c r="C26" s="31" t="e">
        <f>#REF!</f>
        <v>#REF!</v>
      </c>
      <c r="D26" s="21" t="e">
        <f>#REF!</f>
        <v>#REF!</v>
      </c>
      <c r="E26" s="20" t="e">
        <f t="shared" si="0"/>
        <v>#REF!</v>
      </c>
      <c r="F26" s="21">
        <v>1</v>
      </c>
      <c r="G26" s="21">
        <v>1</v>
      </c>
      <c r="H26" s="22" t="e">
        <f t="shared" si="1"/>
        <v>#REF!</v>
      </c>
      <c r="I26" s="22" t="e">
        <f t="shared" si="2"/>
        <v>#REF!</v>
      </c>
      <c r="J26" s="11"/>
      <c r="K26" s="11"/>
      <c r="L26" s="11"/>
      <c r="M26" s="11"/>
      <c r="N26" s="11"/>
      <c r="O26" s="11"/>
      <c r="P26" s="11"/>
      <c r="Q26" s="11"/>
      <c r="R26" s="11"/>
    </row>
    <row r="27" spans="1:18" ht="15.75" customHeight="1" x14ac:dyDescent="0.3">
      <c r="A27" s="3">
        <v>53</v>
      </c>
      <c r="B27" s="4" t="s">
        <v>60</v>
      </c>
      <c r="C27" s="31" t="e">
        <f>#REF!</f>
        <v>#REF!</v>
      </c>
      <c r="D27" s="21" t="e">
        <f>#REF!</f>
        <v>#REF!</v>
      </c>
      <c r="E27" s="20" t="e">
        <f t="shared" si="0"/>
        <v>#REF!</v>
      </c>
      <c r="F27" s="21">
        <v>0.8</v>
      </c>
      <c r="G27" s="21">
        <v>1</v>
      </c>
      <c r="H27" s="22" t="e">
        <f t="shared" si="1"/>
        <v>#REF!</v>
      </c>
      <c r="I27" s="22" t="e">
        <f t="shared" si="2"/>
        <v>#REF!</v>
      </c>
      <c r="J27" s="11"/>
      <c r="K27" s="11"/>
      <c r="L27" s="11"/>
      <c r="M27" s="11"/>
      <c r="N27" s="11"/>
      <c r="O27" s="11"/>
      <c r="P27" s="11"/>
      <c r="Q27" s="11"/>
      <c r="R27" s="11"/>
    </row>
    <row r="28" spans="1:18" ht="15.75" customHeight="1" x14ac:dyDescent="0.3">
      <c r="A28" s="3">
        <v>56</v>
      </c>
      <c r="B28" s="4" t="s">
        <v>61</v>
      </c>
      <c r="C28" s="31" t="e">
        <f>#REF!</f>
        <v>#REF!</v>
      </c>
      <c r="D28" s="21" t="e">
        <f>#REF!</f>
        <v>#REF!</v>
      </c>
      <c r="E28" s="20" t="e">
        <f t="shared" si="0"/>
        <v>#REF!</v>
      </c>
      <c r="F28" s="21">
        <v>1</v>
      </c>
      <c r="G28" s="21">
        <v>1</v>
      </c>
      <c r="H28" s="22" t="e">
        <f t="shared" si="1"/>
        <v>#REF!</v>
      </c>
      <c r="I28" s="22" t="e">
        <f t="shared" si="2"/>
        <v>#REF!</v>
      </c>
      <c r="J28" s="11"/>
      <c r="K28" s="11"/>
      <c r="L28" s="11"/>
      <c r="M28" s="11"/>
      <c r="N28" s="11"/>
      <c r="O28" s="11"/>
      <c r="P28" s="11"/>
      <c r="Q28" s="11"/>
      <c r="R28" s="11"/>
    </row>
    <row r="29" spans="1:18" ht="15.75" customHeight="1" x14ac:dyDescent="0.3">
      <c r="A29" s="3">
        <v>61</v>
      </c>
      <c r="B29" s="4" t="s">
        <v>62</v>
      </c>
      <c r="C29" s="31" t="e">
        <f>#REF!</f>
        <v>#REF!</v>
      </c>
      <c r="D29" s="21" t="e">
        <f>#REF!</f>
        <v>#REF!</v>
      </c>
      <c r="E29" s="20" t="e">
        <f t="shared" si="0"/>
        <v>#REF!</v>
      </c>
      <c r="F29" s="21">
        <v>1</v>
      </c>
      <c r="G29" s="21">
        <v>1</v>
      </c>
      <c r="H29" s="22" t="e">
        <f t="shared" si="1"/>
        <v>#REF!</v>
      </c>
      <c r="I29" s="22" t="e">
        <f t="shared" si="2"/>
        <v>#REF!</v>
      </c>
      <c r="J29" s="11"/>
      <c r="K29" s="11"/>
      <c r="L29" s="11"/>
      <c r="M29" s="11"/>
      <c r="N29" s="11"/>
      <c r="O29" s="11"/>
      <c r="P29" s="11"/>
      <c r="Q29" s="11"/>
      <c r="R29" s="11"/>
    </row>
    <row r="30" spans="1:18" ht="15.75" customHeight="1" x14ac:dyDescent="0.3">
      <c r="A30" s="3">
        <v>66</v>
      </c>
      <c r="B30" s="4" t="s">
        <v>63</v>
      </c>
      <c r="C30" s="31" t="e">
        <f>#REF!</f>
        <v>#REF!</v>
      </c>
      <c r="D30" s="21" t="e">
        <f>#REF!</f>
        <v>#REF!</v>
      </c>
      <c r="E30" s="20" t="e">
        <f t="shared" si="0"/>
        <v>#REF!</v>
      </c>
      <c r="F30" s="21">
        <v>0</v>
      </c>
      <c r="G30" s="21">
        <v>1</v>
      </c>
      <c r="H30" s="22" t="e">
        <f t="shared" si="1"/>
        <v>#REF!</v>
      </c>
      <c r="I30" s="22" t="e">
        <f t="shared" si="2"/>
        <v>#REF!</v>
      </c>
      <c r="J30" s="11"/>
      <c r="K30" s="11"/>
      <c r="L30" s="11"/>
      <c r="M30" s="11"/>
      <c r="N30" s="11"/>
      <c r="O30" s="11"/>
      <c r="P30" s="11"/>
      <c r="Q30" s="11"/>
      <c r="R30" s="11"/>
    </row>
    <row r="31" spans="1:18" ht="15.75" customHeight="1" x14ac:dyDescent="0.3">
      <c r="A31" s="3">
        <v>68</v>
      </c>
      <c r="B31" s="4" t="s">
        <v>64</v>
      </c>
      <c r="C31" s="31" t="e">
        <f>#REF!</f>
        <v>#REF!</v>
      </c>
      <c r="D31" s="21" t="e">
        <f>#REF!</f>
        <v>#REF!</v>
      </c>
      <c r="E31" s="20" t="e">
        <f t="shared" si="0"/>
        <v>#REF!</v>
      </c>
      <c r="F31" s="31" t="s">
        <v>65</v>
      </c>
      <c r="G31" s="21">
        <v>1</v>
      </c>
      <c r="H31" s="32">
        <v>1</v>
      </c>
      <c r="I31" s="32" t="e">
        <f t="shared" si="2"/>
        <v>#REF!</v>
      </c>
      <c r="J31" s="11"/>
      <c r="K31" s="11"/>
      <c r="L31" s="11"/>
      <c r="M31" s="11"/>
      <c r="N31" s="11"/>
      <c r="O31" s="11"/>
      <c r="P31" s="11"/>
      <c r="Q31" s="11"/>
      <c r="R31" s="11"/>
    </row>
    <row r="32" spans="1:18" ht="15.75" customHeight="1" x14ac:dyDescent="0.3">
      <c r="A32" s="3">
        <v>78</v>
      </c>
      <c r="B32" s="4" t="s">
        <v>66</v>
      </c>
      <c r="C32" s="31" t="e">
        <f>#REF!</f>
        <v>#REF!</v>
      </c>
      <c r="D32" s="21" t="e">
        <f>#REF!</f>
        <v>#REF!</v>
      </c>
      <c r="E32" s="20" t="e">
        <f t="shared" si="0"/>
        <v>#REF!</v>
      </c>
      <c r="F32" s="21">
        <v>1</v>
      </c>
      <c r="G32" s="21">
        <v>0.8</v>
      </c>
      <c r="H32" s="22" t="e">
        <f t="shared" ref="H32:H50" si="3">C32*(30%*F32+70%*G32)</f>
        <v>#REF!</v>
      </c>
      <c r="I32" s="22" t="e">
        <f t="shared" si="2"/>
        <v>#REF!</v>
      </c>
      <c r="J32" s="11"/>
      <c r="K32" s="11"/>
      <c r="L32" s="11"/>
      <c r="M32" s="11"/>
      <c r="N32" s="11"/>
      <c r="O32" s="11"/>
      <c r="P32" s="11"/>
      <c r="Q32" s="11"/>
      <c r="R32" s="11"/>
    </row>
    <row r="33" spans="1:18" ht="15.75" customHeight="1" x14ac:dyDescent="0.3">
      <c r="A33" s="3">
        <v>86</v>
      </c>
      <c r="B33" s="4" t="s">
        <v>67</v>
      </c>
      <c r="C33" s="31" t="e">
        <f>#REF!</f>
        <v>#REF!</v>
      </c>
      <c r="D33" s="21" t="e">
        <f>#REF!</f>
        <v>#REF!</v>
      </c>
      <c r="E33" s="20" t="e">
        <f t="shared" si="0"/>
        <v>#REF!</v>
      </c>
      <c r="F33" s="21">
        <v>1</v>
      </c>
      <c r="G33" s="21">
        <v>1</v>
      </c>
      <c r="H33" s="22" t="e">
        <f t="shared" si="3"/>
        <v>#REF!</v>
      </c>
      <c r="I33" s="22" t="e">
        <f t="shared" si="2"/>
        <v>#REF!</v>
      </c>
      <c r="J33" s="11"/>
      <c r="K33" s="11"/>
      <c r="L33" s="11"/>
      <c r="M33" s="11"/>
      <c r="N33" s="11"/>
      <c r="O33" s="11"/>
      <c r="P33" s="11"/>
      <c r="Q33" s="11"/>
      <c r="R33" s="11"/>
    </row>
    <row r="34" spans="1:18" ht="15.75" customHeight="1" x14ac:dyDescent="0.3">
      <c r="A34" s="3">
        <v>88</v>
      </c>
      <c r="B34" s="4" t="s">
        <v>68</v>
      </c>
      <c r="C34" s="31" t="e">
        <f>#REF!</f>
        <v>#REF!</v>
      </c>
      <c r="D34" s="21" t="e">
        <f>#REF!</f>
        <v>#REF!</v>
      </c>
      <c r="E34" s="20" t="e">
        <f t="shared" si="0"/>
        <v>#REF!</v>
      </c>
      <c r="F34" s="21">
        <v>1</v>
      </c>
      <c r="G34" s="21">
        <v>1</v>
      </c>
      <c r="H34" s="22" t="e">
        <f t="shared" si="3"/>
        <v>#REF!</v>
      </c>
      <c r="I34" s="22" t="e">
        <f t="shared" si="2"/>
        <v>#REF!</v>
      </c>
      <c r="J34" s="11"/>
      <c r="K34" s="11"/>
      <c r="L34" s="11"/>
      <c r="M34" s="11"/>
      <c r="N34" s="11"/>
      <c r="O34" s="11"/>
      <c r="P34" s="11"/>
      <c r="Q34" s="11"/>
      <c r="R34" s="11"/>
    </row>
    <row r="35" spans="1:18" ht="15.75" customHeight="1" x14ac:dyDescent="0.3">
      <c r="A35" s="3">
        <v>94</v>
      </c>
      <c r="B35" s="4" t="s">
        <v>69</v>
      </c>
      <c r="C35" s="31" t="e">
        <f>#REF!</f>
        <v>#REF!</v>
      </c>
      <c r="D35" s="21" t="e">
        <f>#REF!</f>
        <v>#REF!</v>
      </c>
      <c r="E35" s="20" t="e">
        <f t="shared" si="0"/>
        <v>#REF!</v>
      </c>
      <c r="F35" s="21">
        <v>1</v>
      </c>
      <c r="G35" s="21">
        <v>1</v>
      </c>
      <c r="H35" s="22" t="e">
        <f t="shared" si="3"/>
        <v>#REF!</v>
      </c>
      <c r="I35" s="22" t="e">
        <f t="shared" si="2"/>
        <v>#REF!</v>
      </c>
      <c r="J35" s="11"/>
      <c r="K35" s="11"/>
      <c r="L35" s="11"/>
      <c r="M35" s="11"/>
      <c r="N35" s="11"/>
      <c r="O35" s="11"/>
      <c r="P35" s="11"/>
      <c r="Q35" s="11"/>
      <c r="R35" s="11"/>
    </row>
    <row r="36" spans="1:18" ht="15.75" customHeight="1" x14ac:dyDescent="0.3">
      <c r="A36" s="3">
        <v>95</v>
      </c>
      <c r="B36" s="4" t="s">
        <v>70</v>
      </c>
      <c r="C36" s="31" t="e">
        <f>#REF!</f>
        <v>#REF!</v>
      </c>
      <c r="D36" s="21" t="e">
        <f>#REF!</f>
        <v>#REF!</v>
      </c>
      <c r="E36" s="20" t="e">
        <f t="shared" si="0"/>
        <v>#REF!</v>
      </c>
      <c r="F36" s="21">
        <v>0.6</v>
      </c>
      <c r="G36" s="21">
        <v>1</v>
      </c>
      <c r="H36" s="22" t="e">
        <f t="shared" si="3"/>
        <v>#REF!</v>
      </c>
      <c r="I36" s="22" t="e">
        <f t="shared" si="2"/>
        <v>#REF!</v>
      </c>
      <c r="J36" s="11"/>
      <c r="K36" s="11"/>
      <c r="L36" s="11"/>
      <c r="M36" s="11"/>
      <c r="N36" s="11"/>
      <c r="O36" s="11"/>
      <c r="P36" s="11"/>
      <c r="Q36" s="11"/>
      <c r="R36" s="11"/>
    </row>
    <row r="37" spans="1:18" ht="15.75" customHeight="1" x14ac:dyDescent="0.3">
      <c r="A37" s="3">
        <v>105</v>
      </c>
      <c r="B37" s="4" t="s">
        <v>71</v>
      </c>
      <c r="C37" s="31" t="e">
        <f>#REF!</f>
        <v>#REF!</v>
      </c>
      <c r="D37" s="21" t="e">
        <f>#REF!</f>
        <v>#REF!</v>
      </c>
      <c r="E37" s="20" t="e">
        <f t="shared" si="0"/>
        <v>#REF!</v>
      </c>
      <c r="F37" s="21">
        <v>1</v>
      </c>
      <c r="G37" s="21">
        <v>1</v>
      </c>
      <c r="H37" s="22" t="e">
        <f t="shared" si="3"/>
        <v>#REF!</v>
      </c>
      <c r="I37" s="22" t="e">
        <f t="shared" si="2"/>
        <v>#REF!</v>
      </c>
      <c r="J37" s="11"/>
      <c r="K37" s="11"/>
      <c r="L37" s="11"/>
      <c r="M37" s="11"/>
      <c r="N37" s="11"/>
      <c r="O37" s="11"/>
      <c r="P37" s="11"/>
      <c r="Q37" s="11"/>
      <c r="R37" s="11"/>
    </row>
    <row r="38" spans="1:18" ht="15.75" customHeight="1" x14ac:dyDescent="0.3">
      <c r="A38" s="3">
        <v>108</v>
      </c>
      <c r="B38" s="4" t="s">
        <v>72</v>
      </c>
      <c r="C38" s="31" t="e">
        <f>#REF!</f>
        <v>#REF!</v>
      </c>
      <c r="D38" s="21" t="e">
        <f>#REF!</f>
        <v>#REF!</v>
      </c>
      <c r="E38" s="20" t="e">
        <f t="shared" si="0"/>
        <v>#REF!</v>
      </c>
      <c r="F38" s="21">
        <v>0.8</v>
      </c>
      <c r="G38" s="21">
        <v>0.8</v>
      </c>
      <c r="H38" s="22" t="e">
        <f t="shared" si="3"/>
        <v>#REF!</v>
      </c>
      <c r="I38" s="22" t="e">
        <f t="shared" si="2"/>
        <v>#REF!</v>
      </c>
      <c r="J38" s="11"/>
      <c r="K38" s="11"/>
      <c r="L38" s="11"/>
      <c r="M38" s="11"/>
      <c r="N38" s="11"/>
      <c r="O38" s="11"/>
      <c r="P38" s="11"/>
      <c r="Q38" s="11"/>
      <c r="R38" s="11"/>
    </row>
    <row r="39" spans="1:18" ht="15.75" customHeight="1" x14ac:dyDescent="0.3">
      <c r="A39" s="3">
        <v>115</v>
      </c>
      <c r="B39" s="4" t="s">
        <v>73</v>
      </c>
      <c r="C39" s="31" t="e">
        <f>#REF!</f>
        <v>#REF!</v>
      </c>
      <c r="D39" s="21" t="e">
        <f>#REF!</f>
        <v>#REF!</v>
      </c>
      <c r="E39" s="20" t="e">
        <f t="shared" si="0"/>
        <v>#REF!</v>
      </c>
      <c r="F39" s="21">
        <v>0.8</v>
      </c>
      <c r="G39" s="21">
        <v>1</v>
      </c>
      <c r="H39" s="22" t="e">
        <f t="shared" si="3"/>
        <v>#REF!</v>
      </c>
      <c r="I39" s="22" t="e">
        <f t="shared" si="2"/>
        <v>#REF!</v>
      </c>
      <c r="J39" s="11"/>
      <c r="K39" s="11"/>
      <c r="L39" s="11"/>
      <c r="M39" s="11"/>
      <c r="N39" s="11"/>
      <c r="O39" s="11"/>
      <c r="P39" s="11"/>
      <c r="Q39" s="11"/>
      <c r="R39" s="11"/>
    </row>
    <row r="40" spans="1:18" ht="15.75" customHeight="1" x14ac:dyDescent="0.3">
      <c r="A40" s="3">
        <v>131</v>
      </c>
      <c r="B40" s="4" t="s">
        <v>74</v>
      </c>
      <c r="C40" s="31" t="e">
        <f>#REF!</f>
        <v>#REF!</v>
      </c>
      <c r="D40" s="21" t="e">
        <f>#REF!</f>
        <v>#REF!</v>
      </c>
      <c r="E40" s="20" t="e">
        <f t="shared" si="0"/>
        <v>#REF!</v>
      </c>
      <c r="F40" s="21">
        <v>1</v>
      </c>
      <c r="G40" s="21">
        <v>1</v>
      </c>
      <c r="H40" s="22" t="e">
        <f t="shared" si="3"/>
        <v>#REF!</v>
      </c>
      <c r="I40" s="22" t="e">
        <f t="shared" si="2"/>
        <v>#REF!</v>
      </c>
      <c r="J40" s="11"/>
      <c r="K40" s="11"/>
      <c r="L40" s="11"/>
      <c r="M40" s="11"/>
      <c r="N40" s="11"/>
      <c r="O40" s="11"/>
      <c r="P40" s="11"/>
      <c r="Q40" s="11"/>
      <c r="R40" s="11"/>
    </row>
    <row r="41" spans="1:18" ht="15.75" customHeight="1" x14ac:dyDescent="0.3">
      <c r="A41" s="3">
        <v>132</v>
      </c>
      <c r="B41" s="4" t="s">
        <v>75</v>
      </c>
      <c r="C41" s="31" t="e">
        <f>#REF!</f>
        <v>#REF!</v>
      </c>
      <c r="D41" s="21" t="e">
        <f>#REF!</f>
        <v>#REF!</v>
      </c>
      <c r="E41" s="20" t="e">
        <f t="shared" si="0"/>
        <v>#REF!</v>
      </c>
      <c r="F41" s="21">
        <v>0.8</v>
      </c>
      <c r="G41" s="21">
        <v>1</v>
      </c>
      <c r="H41" s="22" t="e">
        <f t="shared" si="3"/>
        <v>#REF!</v>
      </c>
      <c r="I41" s="22" t="e">
        <f t="shared" si="2"/>
        <v>#REF!</v>
      </c>
      <c r="J41" s="11"/>
      <c r="K41" s="11"/>
      <c r="L41" s="11"/>
      <c r="M41" s="11"/>
      <c r="N41" s="11"/>
      <c r="O41" s="11"/>
      <c r="P41" s="11"/>
      <c r="Q41" s="11"/>
      <c r="R41" s="11"/>
    </row>
    <row r="42" spans="1:18" ht="15.75" customHeight="1" x14ac:dyDescent="0.3">
      <c r="A42" s="3">
        <v>147</v>
      </c>
      <c r="B42" s="4" t="s">
        <v>76</v>
      </c>
      <c r="C42" s="31" t="e">
        <f>#REF!</f>
        <v>#REF!</v>
      </c>
      <c r="D42" s="21" t="e">
        <f>#REF!</f>
        <v>#REF!</v>
      </c>
      <c r="E42" s="20" t="e">
        <f t="shared" si="0"/>
        <v>#REF!</v>
      </c>
      <c r="F42" s="21">
        <v>1</v>
      </c>
      <c r="G42" s="21">
        <v>1</v>
      </c>
      <c r="H42" s="22" t="e">
        <f t="shared" si="3"/>
        <v>#REF!</v>
      </c>
      <c r="I42" s="22" t="e">
        <f t="shared" si="2"/>
        <v>#REF!</v>
      </c>
      <c r="J42" s="11"/>
      <c r="K42" s="11"/>
      <c r="L42" s="11"/>
      <c r="M42" s="11"/>
      <c r="N42" s="11"/>
      <c r="O42" s="11"/>
      <c r="P42" s="11"/>
      <c r="Q42" s="11"/>
      <c r="R42" s="11"/>
    </row>
    <row r="43" spans="1:18" ht="15.75" customHeight="1" x14ac:dyDescent="0.3">
      <c r="A43" s="3">
        <v>151</v>
      </c>
      <c r="B43" s="4" t="s">
        <v>77</v>
      </c>
      <c r="C43" s="31" t="e">
        <f>#REF!</f>
        <v>#REF!</v>
      </c>
      <c r="D43" s="21" t="e">
        <f>#REF!</f>
        <v>#REF!</v>
      </c>
      <c r="E43" s="20" t="e">
        <f t="shared" si="0"/>
        <v>#REF!</v>
      </c>
      <c r="F43" s="21">
        <v>1</v>
      </c>
      <c r="G43" s="21">
        <v>10.01</v>
      </c>
      <c r="H43" s="22" t="e">
        <f t="shared" si="3"/>
        <v>#REF!</v>
      </c>
      <c r="I43" s="22" t="e">
        <f t="shared" si="2"/>
        <v>#REF!</v>
      </c>
      <c r="J43" s="11"/>
      <c r="K43" s="11"/>
      <c r="L43" s="11"/>
      <c r="M43" s="11"/>
      <c r="N43" s="11"/>
      <c r="O43" s="11"/>
      <c r="P43" s="11"/>
      <c r="Q43" s="11"/>
      <c r="R43" s="11"/>
    </row>
    <row r="44" spans="1:18" ht="15.75" customHeight="1" x14ac:dyDescent="0.3">
      <c r="A44" s="3">
        <v>152</v>
      </c>
      <c r="B44" s="4" t="s">
        <v>78</v>
      </c>
      <c r="C44" s="31" t="e">
        <f>#REF!</f>
        <v>#REF!</v>
      </c>
      <c r="D44" s="21" t="e">
        <f>#REF!</f>
        <v>#REF!</v>
      </c>
      <c r="E44" s="20" t="e">
        <f t="shared" si="0"/>
        <v>#REF!</v>
      </c>
      <c r="F44" s="21">
        <v>1</v>
      </c>
      <c r="G44" s="21">
        <v>1</v>
      </c>
      <c r="H44" s="22" t="e">
        <f t="shared" si="3"/>
        <v>#REF!</v>
      </c>
      <c r="I44" s="22" t="e">
        <f t="shared" si="2"/>
        <v>#REF!</v>
      </c>
      <c r="J44" s="11"/>
      <c r="K44" s="11"/>
      <c r="L44" s="11"/>
      <c r="M44" s="11"/>
      <c r="N44" s="11"/>
      <c r="O44" s="11"/>
      <c r="P44" s="11"/>
      <c r="Q44" s="11"/>
      <c r="R44" s="11"/>
    </row>
    <row r="45" spans="1:18" ht="15.75" customHeight="1" x14ac:dyDescent="0.3">
      <c r="A45" s="3">
        <v>153</v>
      </c>
      <c r="B45" s="8" t="s">
        <v>79</v>
      </c>
      <c r="C45" s="31" t="e">
        <f>#REF!</f>
        <v>#REF!</v>
      </c>
      <c r="D45" s="21" t="e">
        <f>#REF!</f>
        <v>#REF!</v>
      </c>
      <c r="E45" s="20" t="e">
        <f t="shared" si="0"/>
        <v>#REF!</v>
      </c>
      <c r="F45" s="21">
        <v>1</v>
      </c>
      <c r="G45" s="21">
        <v>1</v>
      </c>
      <c r="H45" s="22" t="e">
        <f t="shared" si="3"/>
        <v>#REF!</v>
      </c>
      <c r="I45" s="22" t="e">
        <f t="shared" si="2"/>
        <v>#REF!</v>
      </c>
      <c r="J45" s="11"/>
      <c r="K45" s="11"/>
      <c r="L45" s="11"/>
      <c r="M45" s="11"/>
      <c r="N45" s="11"/>
      <c r="O45" s="11"/>
      <c r="P45" s="11"/>
      <c r="Q45" s="11"/>
      <c r="R45" s="11"/>
    </row>
    <row r="46" spans="1:18" ht="15.75" customHeight="1" x14ac:dyDescent="0.3">
      <c r="A46" s="3">
        <v>156</v>
      </c>
      <c r="B46" s="4" t="s">
        <v>80</v>
      </c>
      <c r="C46" s="31" t="e">
        <f>#REF!</f>
        <v>#REF!</v>
      </c>
      <c r="D46" s="21" t="e">
        <f>#REF!</f>
        <v>#REF!</v>
      </c>
      <c r="E46" s="20" t="e">
        <f t="shared" si="0"/>
        <v>#REF!</v>
      </c>
      <c r="F46" s="21">
        <v>1</v>
      </c>
      <c r="G46" s="21">
        <v>1</v>
      </c>
      <c r="H46" s="22" t="e">
        <f t="shared" si="3"/>
        <v>#REF!</v>
      </c>
      <c r="I46" s="22" t="e">
        <f t="shared" si="2"/>
        <v>#REF!</v>
      </c>
      <c r="J46" s="11"/>
      <c r="K46" s="11"/>
      <c r="L46" s="11"/>
      <c r="M46" s="11"/>
      <c r="N46" s="11"/>
      <c r="O46" s="11"/>
      <c r="P46" s="11"/>
      <c r="Q46" s="11"/>
      <c r="R46" s="11"/>
    </row>
    <row r="47" spans="1:18" ht="15.75" customHeight="1" x14ac:dyDescent="0.3">
      <c r="A47" s="3">
        <v>157</v>
      </c>
      <c r="B47" s="4" t="s">
        <v>81</v>
      </c>
      <c r="C47" s="31" t="e">
        <f>#REF!</f>
        <v>#REF!</v>
      </c>
      <c r="D47" s="21" t="e">
        <f>#REF!</f>
        <v>#REF!</v>
      </c>
      <c r="E47" s="20" t="e">
        <f t="shared" si="0"/>
        <v>#REF!</v>
      </c>
      <c r="F47" s="21">
        <v>1</v>
      </c>
      <c r="G47" s="21">
        <v>1</v>
      </c>
      <c r="H47" s="22" t="e">
        <f t="shared" si="3"/>
        <v>#REF!</v>
      </c>
      <c r="I47" s="22" t="e">
        <f t="shared" si="2"/>
        <v>#REF!</v>
      </c>
      <c r="J47" s="11"/>
      <c r="K47" s="11"/>
      <c r="L47" s="11"/>
      <c r="M47" s="11"/>
      <c r="N47" s="11"/>
      <c r="O47" s="11"/>
      <c r="P47" s="11"/>
      <c r="Q47" s="11"/>
      <c r="R47" s="11"/>
    </row>
    <row r="48" spans="1:18" ht="15.75" customHeight="1" x14ac:dyDescent="0.3">
      <c r="A48" s="3">
        <v>158</v>
      </c>
      <c r="B48" s="4" t="s">
        <v>82</v>
      </c>
      <c r="C48" s="31" t="e">
        <f>#REF!</f>
        <v>#REF!</v>
      </c>
      <c r="D48" s="21" t="e">
        <f>#REF!</f>
        <v>#REF!</v>
      </c>
      <c r="E48" s="20" t="e">
        <f t="shared" si="0"/>
        <v>#REF!</v>
      </c>
      <c r="F48" s="21">
        <v>1</v>
      </c>
      <c r="G48" s="21">
        <v>1</v>
      </c>
      <c r="H48" s="22" t="e">
        <f t="shared" si="3"/>
        <v>#REF!</v>
      </c>
      <c r="I48" s="22" t="e">
        <f t="shared" si="2"/>
        <v>#REF!</v>
      </c>
      <c r="J48" s="11"/>
      <c r="K48" s="11"/>
      <c r="L48" s="11"/>
      <c r="M48" s="11"/>
      <c r="N48" s="11"/>
      <c r="O48" s="11"/>
      <c r="P48" s="11"/>
      <c r="Q48" s="11"/>
      <c r="R48" s="11"/>
    </row>
    <row r="49" spans="1:18" ht="15.75" customHeight="1" x14ac:dyDescent="0.3">
      <c r="A49" s="3">
        <v>161</v>
      </c>
      <c r="B49" s="4" t="s">
        <v>83</v>
      </c>
      <c r="C49" s="31" t="e">
        <f>#REF!</f>
        <v>#REF!</v>
      </c>
      <c r="D49" s="21" t="e">
        <f>#REF!</f>
        <v>#REF!</v>
      </c>
      <c r="E49" s="20" t="e">
        <f t="shared" si="0"/>
        <v>#REF!</v>
      </c>
      <c r="F49" s="21">
        <v>1</v>
      </c>
      <c r="G49" s="21">
        <v>1</v>
      </c>
      <c r="H49" s="22" t="e">
        <f t="shared" si="3"/>
        <v>#REF!</v>
      </c>
      <c r="I49" s="22" t="e">
        <f t="shared" si="2"/>
        <v>#REF!</v>
      </c>
      <c r="J49" s="11"/>
      <c r="K49" s="11"/>
      <c r="L49" s="11"/>
      <c r="M49" s="11"/>
      <c r="N49" s="11"/>
      <c r="O49" s="11"/>
      <c r="P49" s="11"/>
      <c r="Q49" s="11"/>
      <c r="R49" s="11"/>
    </row>
    <row r="50" spans="1:18" ht="15.75" customHeight="1" x14ac:dyDescent="0.3">
      <c r="A50" s="3">
        <v>162</v>
      </c>
      <c r="B50" s="4" t="s">
        <v>84</v>
      </c>
      <c r="C50" s="31" t="e">
        <f>#REF!</f>
        <v>#REF!</v>
      </c>
      <c r="D50" s="21" t="e">
        <f>#REF!</f>
        <v>#REF!</v>
      </c>
      <c r="E50" s="20" t="e">
        <f t="shared" si="0"/>
        <v>#REF!</v>
      </c>
      <c r="F50" s="21">
        <v>1</v>
      </c>
      <c r="G50" s="21">
        <v>1</v>
      </c>
      <c r="H50" s="22" t="e">
        <f t="shared" si="3"/>
        <v>#REF!</v>
      </c>
      <c r="I50" s="22" t="e">
        <f t="shared" si="2"/>
        <v>#REF!</v>
      </c>
      <c r="J50" s="11"/>
      <c r="K50" s="11"/>
      <c r="L50" s="11"/>
      <c r="M50" s="11"/>
      <c r="N50" s="11"/>
      <c r="O50" s="11"/>
      <c r="P50" s="11"/>
      <c r="Q50" s="11"/>
      <c r="R50" s="11"/>
    </row>
    <row r="51" spans="1:18" ht="69" customHeight="1" x14ac:dyDescent="0.3">
      <c r="A51" s="3">
        <v>166</v>
      </c>
      <c r="B51" s="4" t="s">
        <v>85</v>
      </c>
      <c r="C51" s="31" t="e">
        <f>#REF!</f>
        <v>#REF!</v>
      </c>
      <c r="D51" s="21" t="e">
        <f>#REF!</f>
        <v>#REF!</v>
      </c>
      <c r="E51" s="20" t="e">
        <f t="shared" si="0"/>
        <v>#REF!</v>
      </c>
      <c r="F51" s="21"/>
      <c r="G51" s="21"/>
      <c r="H51" s="22"/>
      <c r="I51" s="22"/>
      <c r="J51" s="11"/>
      <c r="K51" s="11"/>
      <c r="L51" s="11"/>
      <c r="M51" s="11"/>
      <c r="N51" s="11"/>
      <c r="O51" s="11"/>
      <c r="P51" s="11"/>
      <c r="Q51" s="11"/>
      <c r="R51" s="11"/>
    </row>
    <row r="52" spans="1:18" ht="96" customHeight="1" x14ac:dyDescent="0.3">
      <c r="A52" s="3">
        <v>169</v>
      </c>
      <c r="B52" s="4" t="s">
        <v>17</v>
      </c>
      <c r="C52" s="31" t="e">
        <f>#REF!</f>
        <v>#REF!</v>
      </c>
      <c r="D52" s="21" t="e">
        <f>#REF!</f>
        <v>#REF!</v>
      </c>
      <c r="E52" s="20" t="e">
        <f t="shared" si="0"/>
        <v>#REF!</v>
      </c>
      <c r="F52" s="21"/>
      <c r="G52" s="21"/>
      <c r="H52" s="22"/>
      <c r="I52" s="22"/>
      <c r="J52" s="11"/>
      <c r="K52" s="11"/>
      <c r="L52" s="11"/>
      <c r="M52" s="11"/>
      <c r="N52" s="11"/>
      <c r="O52" s="11"/>
      <c r="P52" s="11"/>
      <c r="Q52" s="11"/>
      <c r="R52" s="11"/>
    </row>
    <row r="53" spans="1:18" ht="15.75" hidden="1" customHeight="1" x14ac:dyDescent="0.3">
      <c r="A53" s="3"/>
      <c r="B53" s="33"/>
      <c r="C53" s="34" t="e">
        <f>SUM(C18:C52)</f>
        <v>#REF!</v>
      </c>
      <c r="D53" s="35"/>
      <c r="E53" s="35"/>
      <c r="F53" s="35"/>
      <c r="G53" s="36"/>
      <c r="H53" s="37"/>
      <c r="I53" s="34" t="e">
        <f>MIN(SUM(I18:I52),C53)</f>
        <v>#REF!</v>
      </c>
      <c r="J53" s="11"/>
      <c r="K53" s="11"/>
      <c r="L53" s="11"/>
      <c r="M53" s="11"/>
      <c r="N53" s="11"/>
      <c r="O53" s="11"/>
      <c r="P53" s="11"/>
      <c r="Q53" s="11"/>
      <c r="R53" s="11"/>
    </row>
    <row r="54" spans="1:18" ht="15.75" hidden="1" customHeight="1" x14ac:dyDescent="0.3">
      <c r="A54" s="3"/>
      <c r="B54" s="23" t="s">
        <v>86</v>
      </c>
      <c r="C54" s="9" t="e">
        <f>SUM(C53)</f>
        <v>#REF!</v>
      </c>
      <c r="D54" s="6"/>
      <c r="E54" s="6"/>
      <c r="F54" s="21"/>
      <c r="G54" s="202" t="s">
        <v>87</v>
      </c>
      <c r="H54" s="200"/>
      <c r="I54" s="9" t="e">
        <f>MIN(SUM(I53),C54)</f>
        <v>#REF!</v>
      </c>
      <c r="J54" s="11"/>
      <c r="K54" s="11"/>
      <c r="L54" s="11"/>
      <c r="M54" s="11"/>
      <c r="N54" s="11"/>
      <c r="O54" s="11"/>
      <c r="P54" s="11"/>
      <c r="Q54" s="11"/>
      <c r="R54" s="11"/>
    </row>
    <row r="55" spans="1:18" ht="38.25" hidden="1" customHeight="1" x14ac:dyDescent="0.3">
      <c r="A55" s="3"/>
      <c r="B55" s="27" t="s">
        <v>88</v>
      </c>
      <c r="C55" s="28" t="e">
        <f>IF(C53=0,1,I53/C53)</f>
        <v>#REF!</v>
      </c>
      <c r="D55" s="198" t="s">
        <v>89</v>
      </c>
      <c r="E55" s="199"/>
      <c r="F55" s="199"/>
      <c r="G55" s="199"/>
      <c r="H55" s="199"/>
      <c r="I55" s="200"/>
      <c r="J55" s="11"/>
      <c r="K55" s="11"/>
      <c r="L55" s="11"/>
      <c r="M55" s="11"/>
      <c r="N55" s="11"/>
      <c r="O55" s="11"/>
      <c r="P55" s="11"/>
      <c r="Q55" s="11"/>
      <c r="R55" s="11"/>
    </row>
    <row r="56" spans="1:18" ht="15.75" customHeight="1" x14ac:dyDescent="0.3">
      <c r="A56" s="2" t="s">
        <v>18</v>
      </c>
      <c r="B56" s="203" t="s">
        <v>19</v>
      </c>
      <c r="C56" s="199"/>
      <c r="D56" s="199"/>
      <c r="E56" s="199"/>
      <c r="F56" s="199"/>
      <c r="G56" s="199"/>
      <c r="H56" s="199"/>
      <c r="I56" s="200"/>
      <c r="J56" s="1"/>
      <c r="K56" s="1"/>
      <c r="L56" s="1"/>
      <c r="M56" s="1"/>
      <c r="N56" s="1"/>
      <c r="O56" s="1"/>
      <c r="P56" s="1"/>
      <c r="Q56" s="1"/>
      <c r="R56" s="1"/>
    </row>
    <row r="57" spans="1:18" ht="15.75" hidden="1" customHeight="1" x14ac:dyDescent="0.3">
      <c r="A57" s="3"/>
      <c r="B57" s="23" t="s">
        <v>90</v>
      </c>
      <c r="C57" s="9">
        <f>SUM(C56)</f>
        <v>0</v>
      </c>
      <c r="D57" s="6"/>
      <c r="E57" s="6"/>
      <c r="F57" s="21"/>
      <c r="G57" s="202" t="s">
        <v>91</v>
      </c>
      <c r="H57" s="200"/>
      <c r="I57" s="9">
        <f>MIN(SUM(I56),C57)</f>
        <v>0</v>
      </c>
      <c r="J57" s="11"/>
      <c r="K57" s="11"/>
      <c r="L57" s="11"/>
      <c r="M57" s="11"/>
      <c r="N57" s="11"/>
      <c r="O57" s="11"/>
      <c r="P57" s="11"/>
      <c r="Q57" s="11"/>
      <c r="R57" s="11"/>
    </row>
    <row r="58" spans="1:18" ht="38.25" hidden="1" customHeight="1" x14ac:dyDescent="0.3">
      <c r="A58" s="3"/>
      <c r="B58" s="27" t="s">
        <v>92</v>
      </c>
      <c r="C58" s="28">
        <f>IF(C56=0,1,I56/C56)</f>
        <v>1</v>
      </c>
      <c r="D58" s="198" t="s">
        <v>93</v>
      </c>
      <c r="E58" s="199"/>
      <c r="F58" s="199"/>
      <c r="G58" s="199"/>
      <c r="H58" s="199"/>
      <c r="I58" s="200"/>
      <c r="J58" s="11"/>
      <c r="K58" s="11"/>
      <c r="L58" s="11"/>
      <c r="M58" s="11"/>
      <c r="N58" s="11"/>
      <c r="O58" s="11"/>
      <c r="P58" s="11"/>
      <c r="Q58" s="11"/>
      <c r="R58" s="11"/>
    </row>
    <row r="59" spans="1:18" ht="15.75" customHeight="1" x14ac:dyDescent="0.3">
      <c r="A59" s="2" t="s">
        <v>20</v>
      </c>
      <c r="B59" s="203" t="s">
        <v>21</v>
      </c>
      <c r="C59" s="199"/>
      <c r="D59" s="199"/>
      <c r="E59" s="199"/>
      <c r="F59" s="199"/>
      <c r="G59" s="199"/>
      <c r="H59" s="199"/>
      <c r="I59" s="200"/>
      <c r="J59" s="11"/>
      <c r="K59" s="11"/>
      <c r="L59" s="11"/>
      <c r="M59" s="11"/>
      <c r="N59" s="11"/>
      <c r="O59" s="11"/>
      <c r="P59" s="11"/>
      <c r="Q59" s="11"/>
      <c r="R59" s="11"/>
    </row>
    <row r="60" spans="1:18" ht="15.75" customHeight="1" x14ac:dyDescent="0.3">
      <c r="A60" s="3"/>
      <c r="B60" s="4"/>
      <c r="C60" s="3"/>
      <c r="D60" s="5"/>
      <c r="E60" s="5"/>
      <c r="F60" s="3"/>
      <c r="G60" s="31"/>
      <c r="H60" s="31"/>
      <c r="I60" s="31"/>
      <c r="J60" s="11"/>
      <c r="K60" s="11"/>
      <c r="L60" s="11"/>
      <c r="M60" s="11"/>
      <c r="N60" s="11"/>
      <c r="O60" s="11"/>
      <c r="P60" s="11"/>
      <c r="Q60" s="11"/>
      <c r="R60" s="11"/>
    </row>
    <row r="61" spans="1:18" ht="15.75" customHeight="1" x14ac:dyDescent="0.3">
      <c r="A61" s="3"/>
      <c r="B61" s="205" t="s">
        <v>94</v>
      </c>
      <c r="C61" s="200"/>
      <c r="D61" s="6"/>
      <c r="E61" s="38" t="e">
        <f>SUM(E18:E52,E14,E5)</f>
        <v>#REF!</v>
      </c>
      <c r="F61" s="21"/>
      <c r="G61" s="202" t="s">
        <v>95</v>
      </c>
      <c r="H61" s="200"/>
      <c r="I61" s="39" t="e">
        <f>SUM(I18:I52,I14,I5)</f>
        <v>#REF!</v>
      </c>
      <c r="J61" s="11"/>
      <c r="K61" s="11"/>
      <c r="L61" s="11"/>
      <c r="M61" s="11"/>
      <c r="N61" s="11"/>
      <c r="O61" s="11"/>
      <c r="P61" s="11"/>
      <c r="Q61" s="11"/>
      <c r="R61" s="11"/>
    </row>
    <row r="62" spans="1:18" ht="38.25" customHeight="1" x14ac:dyDescent="0.3">
      <c r="A62" s="3"/>
      <c r="B62" s="27" t="s">
        <v>96</v>
      </c>
      <c r="C62" s="38" t="e">
        <f t="array" ref="C62">IF(I61&gt;C61,70,B/A*70)</f>
        <v>#REF!</v>
      </c>
      <c r="D62" s="198" t="s">
        <v>97</v>
      </c>
      <c r="E62" s="199"/>
      <c r="F62" s="199"/>
      <c r="G62" s="199"/>
      <c r="H62" s="199"/>
      <c r="I62" s="200"/>
      <c r="J62" s="11"/>
      <c r="K62" s="11"/>
      <c r="L62" s="11"/>
      <c r="M62" s="11"/>
      <c r="N62" s="11"/>
      <c r="O62" s="11"/>
      <c r="P62" s="11"/>
      <c r="Q62" s="11"/>
      <c r="R62" s="11"/>
    </row>
    <row r="63" spans="1:18" ht="51" customHeight="1" x14ac:dyDescent="0.3">
      <c r="A63" s="11"/>
      <c r="B63" s="11"/>
      <c r="C63" s="11"/>
      <c r="D63" s="204" t="s">
        <v>22</v>
      </c>
      <c r="E63" s="194"/>
      <c r="F63" s="194"/>
      <c r="G63" s="194"/>
      <c r="H63" s="194"/>
      <c r="I63" s="194"/>
      <c r="J63" s="11"/>
      <c r="K63" s="11"/>
      <c r="L63" s="11"/>
      <c r="M63" s="11"/>
      <c r="N63" s="11"/>
      <c r="O63" s="11"/>
      <c r="P63" s="11"/>
      <c r="Q63" s="11"/>
      <c r="R63" s="11"/>
    </row>
    <row r="64" spans="1:18" ht="15.75" customHeight="1" x14ac:dyDescent="0.4">
      <c r="A64" s="11"/>
      <c r="B64" s="40" t="s">
        <v>23</v>
      </c>
      <c r="C64" s="40"/>
      <c r="D64" s="41"/>
      <c r="E64" s="41"/>
      <c r="F64" s="42"/>
      <c r="G64" s="42"/>
      <c r="H64" s="42"/>
      <c r="I64" s="42"/>
      <c r="J64" s="11"/>
      <c r="K64" s="11"/>
      <c r="L64" s="11"/>
      <c r="M64" s="11"/>
      <c r="N64" s="11"/>
      <c r="O64" s="11"/>
      <c r="P64" s="11"/>
      <c r="Q64" s="11"/>
      <c r="R64" s="11"/>
    </row>
    <row r="65" spans="1:18" ht="334.5" customHeight="1" x14ac:dyDescent="0.3">
      <c r="A65" s="11"/>
      <c r="B65" s="197" t="s">
        <v>98</v>
      </c>
      <c r="C65" s="194"/>
      <c r="D65" s="194"/>
      <c r="E65" s="194"/>
      <c r="F65" s="194"/>
      <c r="G65" s="194"/>
      <c r="H65" s="194"/>
      <c r="I65" s="194"/>
      <c r="J65" s="11"/>
      <c r="K65" s="11"/>
      <c r="L65" s="11"/>
      <c r="M65" s="11"/>
      <c r="N65" s="11"/>
      <c r="O65" s="11"/>
      <c r="P65" s="11"/>
      <c r="Q65" s="11"/>
      <c r="R65" s="11"/>
    </row>
    <row r="66" spans="1:18" ht="15.75" customHeight="1" x14ac:dyDescent="0.3">
      <c r="A66" s="11"/>
      <c r="B66" s="11"/>
      <c r="C66" s="11"/>
      <c r="D66" s="43"/>
      <c r="E66" s="43"/>
      <c r="F66" s="11"/>
      <c r="G66" s="11"/>
      <c r="H66" s="11"/>
      <c r="I66" s="11"/>
      <c r="J66" s="11"/>
      <c r="K66" s="11"/>
      <c r="L66" s="11"/>
      <c r="M66" s="11"/>
      <c r="N66" s="11"/>
      <c r="O66" s="11"/>
      <c r="P66" s="11"/>
      <c r="Q66" s="11"/>
      <c r="R66" s="11"/>
    </row>
    <row r="67" spans="1:18" ht="15.75" customHeight="1" x14ac:dyDescent="0.3">
      <c r="A67" s="11"/>
      <c r="B67" s="11"/>
      <c r="C67" s="11"/>
      <c r="D67" s="43"/>
      <c r="E67" s="43"/>
      <c r="F67" s="11"/>
      <c r="G67" s="11"/>
      <c r="H67" s="11"/>
      <c r="I67" s="11"/>
      <c r="J67" s="11"/>
      <c r="K67" s="11"/>
      <c r="L67" s="11"/>
      <c r="M67" s="11"/>
      <c r="N67" s="11"/>
      <c r="O67" s="11"/>
      <c r="P67" s="11"/>
      <c r="Q67" s="11"/>
      <c r="R67" s="11"/>
    </row>
    <row r="68" spans="1:18" ht="15.75" customHeight="1" x14ac:dyDescent="0.3">
      <c r="A68" s="11"/>
      <c r="B68" s="11"/>
      <c r="C68" s="11"/>
      <c r="D68" s="43"/>
      <c r="E68" s="43"/>
      <c r="F68" s="11"/>
      <c r="G68" s="11"/>
      <c r="H68" s="11"/>
      <c r="I68" s="11"/>
      <c r="J68" s="11"/>
      <c r="K68" s="11"/>
      <c r="L68" s="11"/>
      <c r="M68" s="11"/>
      <c r="N68" s="11"/>
      <c r="O68" s="11"/>
      <c r="P68" s="11"/>
      <c r="Q68" s="11"/>
      <c r="R68" s="11"/>
    </row>
    <row r="69" spans="1:18" ht="15.75" customHeight="1" x14ac:dyDescent="0.3">
      <c r="A69" s="11"/>
      <c r="B69" s="11"/>
      <c r="C69" s="11"/>
      <c r="D69" s="43"/>
      <c r="E69" s="43"/>
      <c r="F69" s="11"/>
      <c r="G69" s="11"/>
      <c r="H69" s="11"/>
      <c r="I69" s="11"/>
      <c r="J69" s="11"/>
      <c r="K69" s="11"/>
      <c r="L69" s="11"/>
      <c r="M69" s="11"/>
      <c r="N69" s="11"/>
      <c r="O69" s="11"/>
      <c r="P69" s="11"/>
      <c r="Q69" s="11"/>
      <c r="R69" s="11"/>
    </row>
    <row r="70" spans="1:18" ht="15.75" customHeight="1" x14ac:dyDescent="0.3">
      <c r="A70" s="11"/>
      <c r="B70" s="11"/>
      <c r="C70" s="11"/>
      <c r="D70" s="43"/>
      <c r="E70" s="43"/>
      <c r="F70" s="11"/>
      <c r="G70" s="11"/>
      <c r="H70" s="11"/>
      <c r="I70" s="11"/>
      <c r="J70" s="11"/>
      <c r="K70" s="11"/>
      <c r="L70" s="11"/>
      <c r="M70" s="11"/>
      <c r="N70" s="11"/>
      <c r="O70" s="11"/>
      <c r="P70" s="11"/>
      <c r="Q70" s="11"/>
      <c r="R70" s="11"/>
    </row>
    <row r="71" spans="1:18" ht="15.75" customHeight="1" x14ac:dyDescent="0.3">
      <c r="A71" s="11"/>
      <c r="B71" s="11"/>
      <c r="C71" s="11"/>
      <c r="D71" s="43"/>
      <c r="E71" s="43"/>
      <c r="F71" s="11"/>
      <c r="G71" s="11"/>
      <c r="H71" s="11"/>
      <c r="I71" s="11"/>
      <c r="J71" s="11"/>
      <c r="K71" s="11"/>
      <c r="L71" s="11"/>
      <c r="M71" s="11"/>
      <c r="N71" s="11"/>
      <c r="O71" s="11"/>
      <c r="P71" s="11"/>
      <c r="Q71" s="11"/>
      <c r="R71" s="11"/>
    </row>
    <row r="72" spans="1:18" ht="15.75" customHeight="1" x14ac:dyDescent="0.3">
      <c r="A72" s="11"/>
      <c r="B72" s="11"/>
      <c r="C72" s="11"/>
      <c r="D72" s="43"/>
      <c r="E72" s="43"/>
      <c r="F72" s="11"/>
      <c r="G72" s="11"/>
      <c r="H72" s="11"/>
      <c r="I72" s="11"/>
      <c r="J72" s="11"/>
      <c r="K72" s="11"/>
      <c r="L72" s="11"/>
      <c r="M72" s="11"/>
      <c r="N72" s="11"/>
      <c r="O72" s="11"/>
      <c r="P72" s="11"/>
      <c r="Q72" s="11"/>
      <c r="R72" s="11"/>
    </row>
    <row r="73" spans="1:18" ht="15.75" customHeight="1" x14ac:dyDescent="0.3">
      <c r="A73" s="11"/>
      <c r="B73" s="11"/>
      <c r="C73" s="11"/>
      <c r="D73" s="43"/>
      <c r="E73" s="43"/>
      <c r="F73" s="11"/>
      <c r="G73" s="11"/>
      <c r="H73" s="11"/>
      <c r="I73" s="11"/>
      <c r="J73" s="11"/>
      <c r="K73" s="11"/>
      <c r="L73" s="11"/>
      <c r="M73" s="11"/>
      <c r="N73" s="11"/>
      <c r="O73" s="11"/>
      <c r="P73" s="11"/>
      <c r="Q73" s="11"/>
      <c r="R73" s="11"/>
    </row>
    <row r="74" spans="1:18" ht="15.75" customHeight="1" x14ac:dyDescent="0.3">
      <c r="A74" s="11"/>
      <c r="B74" s="11"/>
      <c r="C74" s="11"/>
      <c r="D74" s="43"/>
      <c r="E74" s="43"/>
      <c r="F74" s="11"/>
      <c r="G74" s="11"/>
      <c r="H74" s="11"/>
      <c r="I74" s="11"/>
      <c r="J74" s="11"/>
      <c r="K74" s="11"/>
      <c r="L74" s="11"/>
      <c r="M74" s="11"/>
      <c r="N74" s="11"/>
      <c r="O74" s="11"/>
      <c r="P74" s="11"/>
      <c r="Q74" s="11"/>
      <c r="R74" s="11"/>
    </row>
    <row r="75" spans="1:18" ht="15.75" customHeight="1" x14ac:dyDescent="0.3">
      <c r="A75" s="11"/>
      <c r="B75" s="11"/>
      <c r="C75" s="11"/>
      <c r="D75" s="43"/>
      <c r="E75" s="43"/>
      <c r="F75" s="11"/>
      <c r="G75" s="11"/>
      <c r="H75" s="11"/>
      <c r="I75" s="11"/>
      <c r="J75" s="11"/>
      <c r="K75" s="11"/>
      <c r="L75" s="11"/>
      <c r="M75" s="11"/>
      <c r="N75" s="11"/>
      <c r="O75" s="11"/>
      <c r="P75" s="11"/>
      <c r="Q75" s="11"/>
      <c r="R75" s="11"/>
    </row>
    <row r="76" spans="1:18" ht="15.75" customHeight="1" x14ac:dyDescent="0.3">
      <c r="A76" s="11"/>
      <c r="B76" s="11"/>
      <c r="C76" s="11"/>
      <c r="D76" s="43"/>
      <c r="E76" s="43"/>
      <c r="F76" s="11"/>
      <c r="G76" s="11"/>
      <c r="H76" s="11"/>
      <c r="I76" s="11"/>
      <c r="J76" s="11"/>
      <c r="K76" s="11"/>
      <c r="L76" s="11"/>
      <c r="M76" s="11"/>
      <c r="N76" s="11"/>
      <c r="O76" s="11"/>
      <c r="P76" s="11"/>
      <c r="Q76" s="11"/>
      <c r="R76" s="11"/>
    </row>
    <row r="77" spans="1:18" ht="15.75" customHeight="1" x14ac:dyDescent="0.3">
      <c r="A77" s="11"/>
      <c r="B77" s="11"/>
      <c r="C77" s="11"/>
      <c r="D77" s="43"/>
      <c r="E77" s="43"/>
      <c r="F77" s="11"/>
      <c r="G77" s="11"/>
      <c r="H77" s="11"/>
      <c r="I77" s="11"/>
      <c r="J77" s="11"/>
      <c r="K77" s="11"/>
      <c r="L77" s="11"/>
      <c r="M77" s="11"/>
      <c r="N77" s="11"/>
      <c r="O77" s="11"/>
      <c r="P77" s="11"/>
      <c r="Q77" s="11"/>
      <c r="R77" s="11"/>
    </row>
    <row r="78" spans="1:18" ht="15.75" customHeight="1" x14ac:dyDescent="0.3">
      <c r="A78" s="11"/>
      <c r="B78" s="11"/>
      <c r="C78" s="11"/>
      <c r="D78" s="43"/>
      <c r="E78" s="43"/>
      <c r="F78" s="11"/>
      <c r="G78" s="11"/>
      <c r="H78" s="11"/>
      <c r="I78" s="11"/>
      <c r="J78" s="11"/>
      <c r="K78" s="11"/>
      <c r="L78" s="11"/>
      <c r="M78" s="11"/>
      <c r="N78" s="11"/>
      <c r="O78" s="11"/>
      <c r="P78" s="11"/>
      <c r="Q78" s="11"/>
      <c r="R78" s="11"/>
    </row>
    <row r="79" spans="1:18" ht="15.75" customHeight="1" x14ac:dyDescent="0.3">
      <c r="A79" s="11"/>
      <c r="B79" s="11"/>
      <c r="C79" s="11"/>
      <c r="D79" s="43"/>
      <c r="E79" s="43"/>
      <c r="F79" s="11"/>
      <c r="G79" s="11"/>
      <c r="H79" s="11"/>
      <c r="I79" s="11"/>
      <c r="J79" s="11"/>
      <c r="K79" s="11"/>
      <c r="L79" s="11"/>
      <c r="M79" s="11"/>
      <c r="N79" s="11"/>
      <c r="O79" s="11"/>
      <c r="P79" s="11"/>
      <c r="Q79" s="11"/>
      <c r="R79" s="11"/>
    </row>
    <row r="80" spans="1:18" ht="15.75" customHeight="1" x14ac:dyDescent="0.3">
      <c r="A80" s="11"/>
      <c r="B80" s="11"/>
      <c r="C80" s="11"/>
      <c r="D80" s="43"/>
      <c r="E80" s="43"/>
      <c r="F80" s="11"/>
      <c r="G80" s="11"/>
      <c r="H80" s="11"/>
      <c r="I80" s="11"/>
      <c r="J80" s="11"/>
      <c r="K80" s="11"/>
      <c r="L80" s="11"/>
      <c r="M80" s="11"/>
      <c r="N80" s="11"/>
      <c r="O80" s="11"/>
      <c r="P80" s="11"/>
      <c r="Q80" s="11"/>
      <c r="R80" s="11"/>
    </row>
    <row r="81" spans="1:18" ht="15.75" customHeight="1" x14ac:dyDescent="0.3">
      <c r="A81" s="11"/>
      <c r="B81" s="11"/>
      <c r="C81" s="11"/>
      <c r="D81" s="43"/>
      <c r="E81" s="43"/>
      <c r="F81" s="11"/>
      <c r="G81" s="11"/>
      <c r="H81" s="11"/>
      <c r="I81" s="11"/>
      <c r="J81" s="11"/>
      <c r="K81" s="11"/>
      <c r="L81" s="11"/>
      <c r="M81" s="11"/>
      <c r="N81" s="11"/>
      <c r="O81" s="11"/>
      <c r="P81" s="11"/>
      <c r="Q81" s="11"/>
      <c r="R81" s="11"/>
    </row>
    <row r="82" spans="1:18" ht="15.75" customHeight="1" x14ac:dyDescent="0.3">
      <c r="A82" s="11"/>
      <c r="B82" s="11"/>
      <c r="C82" s="11"/>
      <c r="D82" s="43"/>
      <c r="E82" s="43"/>
      <c r="F82" s="11"/>
      <c r="G82" s="11"/>
      <c r="H82" s="11"/>
      <c r="I82" s="11"/>
      <c r="J82" s="11"/>
      <c r="K82" s="11"/>
      <c r="L82" s="11"/>
      <c r="M82" s="11"/>
      <c r="N82" s="11"/>
      <c r="O82" s="11"/>
      <c r="P82" s="11"/>
      <c r="Q82" s="11"/>
      <c r="R82" s="11"/>
    </row>
    <row r="83" spans="1:18" ht="15.75" customHeight="1" x14ac:dyDescent="0.3">
      <c r="A83" s="11"/>
      <c r="B83" s="11"/>
      <c r="C83" s="11"/>
      <c r="D83" s="43"/>
      <c r="E83" s="43"/>
      <c r="F83" s="11"/>
      <c r="G83" s="11"/>
      <c r="H83" s="11"/>
      <c r="I83" s="11"/>
      <c r="J83" s="11"/>
      <c r="K83" s="11"/>
      <c r="L83" s="11"/>
      <c r="M83" s="11"/>
      <c r="N83" s="11"/>
      <c r="O83" s="11"/>
      <c r="P83" s="11"/>
      <c r="Q83" s="11"/>
      <c r="R83" s="11"/>
    </row>
    <row r="84" spans="1:18" ht="15.75" customHeight="1" x14ac:dyDescent="0.3">
      <c r="A84" s="11"/>
      <c r="B84" s="11"/>
      <c r="C84" s="11"/>
      <c r="D84" s="43"/>
      <c r="E84" s="43"/>
      <c r="F84" s="11"/>
      <c r="G84" s="11"/>
      <c r="H84" s="11"/>
      <c r="I84" s="11"/>
      <c r="J84" s="11"/>
      <c r="K84" s="11"/>
      <c r="L84" s="11"/>
      <c r="M84" s="11"/>
      <c r="N84" s="11"/>
      <c r="O84" s="11"/>
      <c r="P84" s="11"/>
      <c r="Q84" s="11"/>
      <c r="R84" s="11"/>
    </row>
    <row r="85" spans="1:18" ht="15.75" customHeight="1" x14ac:dyDescent="0.3">
      <c r="A85" s="11"/>
      <c r="B85" s="11"/>
      <c r="C85" s="11"/>
      <c r="D85" s="43"/>
      <c r="E85" s="43"/>
      <c r="F85" s="11"/>
      <c r="G85" s="11"/>
      <c r="H85" s="11"/>
      <c r="I85" s="11"/>
      <c r="J85" s="11"/>
      <c r="K85" s="11"/>
      <c r="L85" s="11"/>
      <c r="M85" s="11"/>
      <c r="N85" s="11"/>
      <c r="O85" s="11"/>
      <c r="P85" s="11"/>
      <c r="Q85" s="11"/>
      <c r="R85" s="11"/>
    </row>
    <row r="86" spans="1:18" ht="15.75" customHeight="1" x14ac:dyDescent="0.3">
      <c r="A86" s="11"/>
      <c r="B86" s="11"/>
      <c r="C86" s="11"/>
      <c r="D86" s="43"/>
      <c r="E86" s="43"/>
      <c r="F86" s="11"/>
      <c r="G86" s="11"/>
      <c r="H86" s="11"/>
      <c r="I86" s="11"/>
      <c r="J86" s="11"/>
      <c r="K86" s="11"/>
      <c r="L86" s="11"/>
      <c r="M86" s="11"/>
      <c r="N86" s="11"/>
      <c r="O86" s="11"/>
      <c r="P86" s="11"/>
      <c r="Q86" s="11"/>
      <c r="R86" s="11"/>
    </row>
    <row r="87" spans="1:18" ht="15.75" customHeight="1" x14ac:dyDescent="0.3">
      <c r="A87" s="11"/>
      <c r="B87" s="11"/>
      <c r="C87" s="11"/>
      <c r="D87" s="43"/>
      <c r="E87" s="43"/>
      <c r="F87" s="11"/>
      <c r="G87" s="11"/>
      <c r="H87" s="11"/>
      <c r="I87" s="11"/>
      <c r="J87" s="11"/>
      <c r="K87" s="11"/>
      <c r="L87" s="11"/>
      <c r="M87" s="11"/>
      <c r="N87" s="11"/>
      <c r="O87" s="11"/>
      <c r="P87" s="11"/>
      <c r="Q87" s="11"/>
      <c r="R87" s="11"/>
    </row>
    <row r="88" spans="1:18" ht="15.75" customHeight="1" x14ac:dyDescent="0.3">
      <c r="A88" s="11"/>
      <c r="B88" s="11"/>
      <c r="C88" s="11"/>
      <c r="D88" s="43"/>
      <c r="E88" s="43"/>
      <c r="F88" s="11"/>
      <c r="G88" s="11"/>
      <c r="H88" s="11"/>
      <c r="I88" s="11"/>
      <c r="J88" s="11"/>
      <c r="K88" s="11"/>
      <c r="L88" s="11"/>
      <c r="M88" s="11"/>
      <c r="N88" s="11"/>
      <c r="O88" s="11"/>
      <c r="P88" s="11"/>
      <c r="Q88" s="11"/>
      <c r="R88" s="11"/>
    </row>
    <row r="89" spans="1:18" ht="15.75" customHeight="1" x14ac:dyDescent="0.3">
      <c r="A89" s="11"/>
      <c r="B89" s="11"/>
      <c r="C89" s="11"/>
      <c r="D89" s="43"/>
      <c r="E89" s="43"/>
      <c r="F89" s="11"/>
      <c r="G89" s="11"/>
      <c r="H89" s="11"/>
      <c r="I89" s="11"/>
      <c r="J89" s="11"/>
      <c r="K89" s="11"/>
      <c r="L89" s="11"/>
      <c r="M89" s="11"/>
      <c r="N89" s="11"/>
      <c r="O89" s="11"/>
      <c r="P89" s="11"/>
      <c r="Q89" s="11"/>
      <c r="R89" s="11"/>
    </row>
    <row r="90" spans="1:18" ht="15.75" customHeight="1" x14ac:dyDescent="0.3">
      <c r="A90" s="11"/>
      <c r="B90" s="11"/>
      <c r="C90" s="11"/>
      <c r="D90" s="43"/>
      <c r="E90" s="43"/>
      <c r="F90" s="11"/>
      <c r="G90" s="11"/>
      <c r="H90" s="11"/>
      <c r="I90" s="11"/>
      <c r="J90" s="11"/>
      <c r="K90" s="11"/>
      <c r="L90" s="11"/>
      <c r="M90" s="11"/>
      <c r="N90" s="11"/>
      <c r="O90" s="11"/>
      <c r="P90" s="11"/>
      <c r="Q90" s="11"/>
      <c r="R90" s="11"/>
    </row>
    <row r="91" spans="1:18" ht="15.75" customHeight="1" x14ac:dyDescent="0.3">
      <c r="A91" s="11"/>
      <c r="B91" s="11"/>
      <c r="C91" s="11"/>
      <c r="D91" s="43"/>
      <c r="E91" s="43"/>
      <c r="F91" s="11"/>
      <c r="G91" s="11"/>
      <c r="H91" s="11"/>
      <c r="I91" s="11"/>
      <c r="J91" s="11"/>
      <c r="K91" s="11"/>
      <c r="L91" s="11"/>
      <c r="M91" s="11"/>
      <c r="N91" s="11"/>
      <c r="O91" s="11"/>
      <c r="P91" s="11"/>
      <c r="Q91" s="11"/>
      <c r="R91" s="11"/>
    </row>
    <row r="92" spans="1:18" ht="15.75" customHeight="1" x14ac:dyDescent="0.3">
      <c r="A92" s="11"/>
      <c r="B92" s="11"/>
      <c r="C92" s="11"/>
      <c r="D92" s="43"/>
      <c r="E92" s="43"/>
      <c r="F92" s="11"/>
      <c r="G92" s="11"/>
      <c r="H92" s="11"/>
      <c r="I92" s="11"/>
      <c r="J92" s="11"/>
      <c r="K92" s="11"/>
      <c r="L92" s="11"/>
      <c r="M92" s="11"/>
      <c r="N92" s="11"/>
      <c r="O92" s="11"/>
      <c r="P92" s="11"/>
      <c r="Q92" s="11"/>
      <c r="R92" s="11"/>
    </row>
    <row r="93" spans="1:18" ht="15.75" customHeight="1" x14ac:dyDescent="0.3">
      <c r="A93" s="11"/>
      <c r="B93" s="11"/>
      <c r="C93" s="11"/>
      <c r="D93" s="43"/>
      <c r="E93" s="43"/>
      <c r="F93" s="11"/>
      <c r="G93" s="11"/>
      <c r="H93" s="11"/>
      <c r="I93" s="11"/>
      <c r="J93" s="11"/>
      <c r="K93" s="11"/>
      <c r="L93" s="11"/>
      <c r="M93" s="11"/>
      <c r="N93" s="11"/>
      <c r="O93" s="11"/>
      <c r="P93" s="11"/>
      <c r="Q93" s="11"/>
      <c r="R93" s="11"/>
    </row>
    <row r="94" spans="1:18" ht="15.75" customHeight="1" x14ac:dyDescent="0.3">
      <c r="A94" s="11"/>
      <c r="B94" s="11"/>
      <c r="C94" s="11"/>
      <c r="D94" s="43"/>
      <c r="E94" s="43"/>
      <c r="F94" s="11"/>
      <c r="G94" s="11"/>
      <c r="H94" s="11"/>
      <c r="I94" s="11"/>
      <c r="J94" s="11"/>
      <c r="K94" s="11"/>
      <c r="L94" s="11"/>
      <c r="M94" s="11"/>
      <c r="N94" s="11"/>
      <c r="O94" s="11"/>
      <c r="P94" s="11"/>
      <c r="Q94" s="11"/>
      <c r="R94" s="11"/>
    </row>
    <row r="95" spans="1:18" ht="15.75" customHeight="1" x14ac:dyDescent="0.3">
      <c r="A95" s="11"/>
      <c r="B95" s="11"/>
      <c r="C95" s="11"/>
      <c r="D95" s="43"/>
      <c r="E95" s="43"/>
      <c r="F95" s="11"/>
      <c r="G95" s="11"/>
      <c r="H95" s="11"/>
      <c r="I95" s="11"/>
      <c r="J95" s="11"/>
      <c r="K95" s="11"/>
      <c r="L95" s="11"/>
      <c r="M95" s="11"/>
      <c r="N95" s="11"/>
      <c r="O95" s="11"/>
      <c r="P95" s="11"/>
      <c r="Q95" s="11"/>
      <c r="R95" s="11"/>
    </row>
    <row r="96" spans="1:18" ht="15.75" customHeight="1" x14ac:dyDescent="0.3">
      <c r="A96" s="11"/>
      <c r="B96" s="11"/>
      <c r="C96" s="11"/>
      <c r="D96" s="43"/>
      <c r="E96" s="43"/>
      <c r="F96" s="11"/>
      <c r="G96" s="11"/>
      <c r="H96" s="11"/>
      <c r="I96" s="11"/>
      <c r="J96" s="11"/>
      <c r="K96" s="11"/>
      <c r="L96" s="11"/>
      <c r="M96" s="11"/>
      <c r="N96" s="11"/>
      <c r="O96" s="11"/>
      <c r="P96" s="11"/>
      <c r="Q96" s="11"/>
      <c r="R96" s="11"/>
    </row>
    <row r="97" spans="1:18" ht="15.75" customHeight="1" x14ac:dyDescent="0.3">
      <c r="A97" s="11"/>
      <c r="B97" s="11"/>
      <c r="C97" s="11"/>
      <c r="D97" s="43"/>
      <c r="E97" s="43"/>
      <c r="F97" s="11"/>
      <c r="G97" s="11"/>
      <c r="H97" s="11"/>
      <c r="I97" s="11"/>
      <c r="J97" s="11"/>
      <c r="K97" s="11"/>
      <c r="L97" s="11"/>
      <c r="M97" s="11"/>
      <c r="N97" s="11"/>
      <c r="O97" s="11"/>
      <c r="P97" s="11"/>
      <c r="Q97" s="11"/>
      <c r="R97" s="11"/>
    </row>
    <row r="98" spans="1:18" ht="15.75" customHeight="1" x14ac:dyDescent="0.3">
      <c r="A98" s="11"/>
      <c r="B98" s="11"/>
      <c r="C98" s="11"/>
      <c r="D98" s="43"/>
      <c r="E98" s="43"/>
      <c r="F98" s="11"/>
      <c r="G98" s="11"/>
      <c r="H98" s="11"/>
      <c r="I98" s="11"/>
      <c r="J98" s="11"/>
      <c r="K98" s="11"/>
      <c r="L98" s="11"/>
      <c r="M98" s="11"/>
      <c r="N98" s="11"/>
      <c r="O98" s="11"/>
      <c r="P98" s="11"/>
      <c r="Q98" s="11"/>
      <c r="R98" s="11"/>
    </row>
    <row r="99" spans="1:18" ht="15.75" customHeight="1" x14ac:dyDescent="0.3">
      <c r="A99" s="11"/>
      <c r="B99" s="11"/>
      <c r="C99" s="11"/>
      <c r="D99" s="43"/>
      <c r="E99" s="43"/>
      <c r="F99" s="11"/>
      <c r="G99" s="11"/>
      <c r="H99" s="11"/>
      <c r="I99" s="11"/>
      <c r="J99" s="11"/>
      <c r="K99" s="11"/>
      <c r="L99" s="11"/>
      <c r="M99" s="11"/>
      <c r="N99" s="11"/>
      <c r="O99" s="11"/>
      <c r="P99" s="11"/>
      <c r="Q99" s="11"/>
      <c r="R99" s="11"/>
    </row>
    <row r="100" spans="1:18" ht="15.75" customHeight="1" x14ac:dyDescent="0.3">
      <c r="A100" s="11"/>
      <c r="B100" s="11"/>
      <c r="C100" s="11"/>
      <c r="D100" s="43"/>
      <c r="E100" s="43"/>
      <c r="F100" s="11"/>
      <c r="G100" s="11"/>
      <c r="H100" s="11"/>
      <c r="I100" s="11"/>
      <c r="J100" s="11"/>
      <c r="K100" s="11"/>
      <c r="L100" s="11"/>
      <c r="M100" s="11"/>
      <c r="N100" s="11"/>
      <c r="O100" s="11"/>
      <c r="P100" s="11"/>
      <c r="Q100" s="11"/>
      <c r="R100" s="11"/>
    </row>
    <row r="101" spans="1:18" ht="15.75" customHeight="1" x14ac:dyDescent="0.3">
      <c r="A101" s="11"/>
      <c r="B101" s="11"/>
      <c r="C101" s="11"/>
      <c r="D101" s="43"/>
      <c r="E101" s="43"/>
      <c r="F101" s="11"/>
      <c r="G101" s="11"/>
      <c r="H101" s="11"/>
      <c r="I101" s="11"/>
      <c r="J101" s="11"/>
      <c r="K101" s="11"/>
      <c r="L101" s="11"/>
      <c r="M101" s="11"/>
      <c r="N101" s="11"/>
      <c r="O101" s="11"/>
      <c r="P101" s="11"/>
      <c r="Q101" s="11"/>
      <c r="R101" s="11"/>
    </row>
    <row r="102" spans="1:18" ht="15.75" customHeight="1" x14ac:dyDescent="0.3">
      <c r="A102" s="11"/>
      <c r="B102" s="11"/>
      <c r="C102" s="11"/>
      <c r="D102" s="43"/>
      <c r="E102" s="43"/>
      <c r="F102" s="11"/>
      <c r="G102" s="11"/>
      <c r="H102" s="11"/>
      <c r="I102" s="11"/>
      <c r="J102" s="11"/>
      <c r="K102" s="11"/>
      <c r="L102" s="11"/>
      <c r="M102" s="11"/>
      <c r="N102" s="11"/>
      <c r="O102" s="11"/>
      <c r="P102" s="11"/>
      <c r="Q102" s="11"/>
      <c r="R102" s="11"/>
    </row>
    <row r="103" spans="1:18" ht="15.75" customHeight="1" x14ac:dyDescent="0.3">
      <c r="A103" s="11"/>
      <c r="B103" s="11"/>
      <c r="C103" s="11"/>
      <c r="D103" s="43"/>
      <c r="E103" s="43"/>
      <c r="F103" s="11"/>
      <c r="G103" s="11"/>
      <c r="H103" s="11"/>
      <c r="I103" s="11"/>
      <c r="J103" s="11"/>
      <c r="K103" s="11"/>
      <c r="L103" s="11"/>
      <c r="M103" s="11"/>
      <c r="N103" s="11"/>
      <c r="O103" s="11"/>
      <c r="P103" s="11"/>
      <c r="Q103" s="11"/>
      <c r="R103" s="11"/>
    </row>
    <row r="104" spans="1:18" ht="15.75" customHeight="1" x14ac:dyDescent="0.3">
      <c r="A104" s="11"/>
      <c r="B104" s="11"/>
      <c r="C104" s="11"/>
      <c r="D104" s="43"/>
      <c r="E104" s="43"/>
      <c r="F104" s="11"/>
      <c r="G104" s="11"/>
      <c r="H104" s="11"/>
      <c r="I104" s="11"/>
      <c r="J104" s="11"/>
      <c r="K104" s="11"/>
      <c r="L104" s="11"/>
      <c r="M104" s="11"/>
      <c r="N104" s="11"/>
      <c r="O104" s="11"/>
      <c r="P104" s="11"/>
      <c r="Q104" s="11"/>
      <c r="R104" s="11"/>
    </row>
    <row r="105" spans="1:18" ht="15.75" customHeight="1" x14ac:dyDescent="0.3">
      <c r="A105" s="11"/>
      <c r="B105" s="11"/>
      <c r="C105" s="11"/>
      <c r="D105" s="43"/>
      <c r="E105" s="43"/>
      <c r="F105" s="11"/>
      <c r="G105" s="11"/>
      <c r="H105" s="11"/>
      <c r="I105" s="11"/>
      <c r="J105" s="11"/>
      <c r="K105" s="11"/>
      <c r="L105" s="11"/>
      <c r="M105" s="11"/>
      <c r="N105" s="11"/>
      <c r="O105" s="11"/>
      <c r="P105" s="11"/>
      <c r="Q105" s="11"/>
      <c r="R105" s="11"/>
    </row>
    <row r="106" spans="1:18" ht="15.75" customHeight="1" x14ac:dyDescent="0.3">
      <c r="A106" s="11"/>
      <c r="B106" s="11"/>
      <c r="C106" s="11"/>
      <c r="D106" s="43"/>
      <c r="E106" s="43"/>
      <c r="F106" s="11"/>
      <c r="G106" s="11"/>
      <c r="H106" s="11"/>
      <c r="I106" s="11"/>
      <c r="J106" s="11"/>
      <c r="K106" s="11"/>
      <c r="L106" s="11"/>
      <c r="M106" s="11"/>
      <c r="N106" s="11"/>
      <c r="O106" s="11"/>
      <c r="P106" s="11"/>
      <c r="Q106" s="11"/>
      <c r="R106" s="11"/>
    </row>
    <row r="107" spans="1:18" ht="15.75" customHeight="1" x14ac:dyDescent="0.3">
      <c r="A107" s="11"/>
      <c r="B107" s="11"/>
      <c r="C107" s="11"/>
      <c r="D107" s="43"/>
      <c r="E107" s="43"/>
      <c r="F107" s="11"/>
      <c r="G107" s="11"/>
      <c r="H107" s="11"/>
      <c r="I107" s="11"/>
      <c r="J107" s="11"/>
      <c r="K107" s="11"/>
      <c r="L107" s="11"/>
      <c r="M107" s="11"/>
      <c r="N107" s="11"/>
      <c r="O107" s="11"/>
      <c r="P107" s="11"/>
      <c r="Q107" s="11"/>
      <c r="R107" s="11"/>
    </row>
    <row r="108" spans="1:18" ht="15.75" customHeight="1" x14ac:dyDescent="0.3">
      <c r="A108" s="11"/>
      <c r="B108" s="11"/>
      <c r="C108" s="11"/>
      <c r="D108" s="43"/>
      <c r="E108" s="43"/>
      <c r="F108" s="11"/>
      <c r="G108" s="11"/>
      <c r="H108" s="11"/>
      <c r="I108" s="11"/>
      <c r="J108" s="11"/>
      <c r="K108" s="11"/>
      <c r="L108" s="11"/>
      <c r="M108" s="11"/>
      <c r="N108" s="11"/>
      <c r="O108" s="11"/>
      <c r="P108" s="11"/>
      <c r="Q108" s="11"/>
      <c r="R108" s="11"/>
    </row>
    <row r="109" spans="1:18" ht="15.75" customHeight="1" x14ac:dyDescent="0.3">
      <c r="A109" s="11"/>
      <c r="B109" s="11"/>
      <c r="C109" s="11"/>
      <c r="D109" s="43"/>
      <c r="E109" s="43"/>
      <c r="F109" s="11"/>
      <c r="G109" s="11"/>
      <c r="H109" s="11"/>
      <c r="I109" s="11"/>
      <c r="J109" s="11"/>
      <c r="K109" s="11"/>
      <c r="L109" s="11"/>
      <c r="M109" s="11"/>
      <c r="N109" s="11"/>
      <c r="O109" s="11"/>
      <c r="P109" s="11"/>
      <c r="Q109" s="11"/>
      <c r="R109" s="11"/>
    </row>
    <row r="110" spans="1:18" ht="15.75" customHeight="1" x14ac:dyDescent="0.3">
      <c r="A110" s="11"/>
      <c r="B110" s="11"/>
      <c r="C110" s="11"/>
      <c r="D110" s="43"/>
      <c r="E110" s="43"/>
      <c r="F110" s="11"/>
      <c r="G110" s="11"/>
      <c r="H110" s="11"/>
      <c r="I110" s="11"/>
      <c r="J110" s="11"/>
      <c r="K110" s="11"/>
      <c r="L110" s="11"/>
      <c r="M110" s="11"/>
      <c r="N110" s="11"/>
      <c r="O110" s="11"/>
      <c r="P110" s="11"/>
      <c r="Q110" s="11"/>
      <c r="R110" s="11"/>
    </row>
    <row r="111" spans="1:18" ht="15.75" customHeight="1" x14ac:dyDescent="0.3">
      <c r="A111" s="11"/>
      <c r="B111" s="11"/>
      <c r="C111" s="11"/>
      <c r="D111" s="43"/>
      <c r="E111" s="43"/>
      <c r="F111" s="11"/>
      <c r="G111" s="11"/>
      <c r="H111" s="11"/>
      <c r="I111" s="11"/>
      <c r="J111" s="11"/>
      <c r="K111" s="11"/>
      <c r="L111" s="11"/>
      <c r="M111" s="11"/>
      <c r="N111" s="11"/>
      <c r="O111" s="11"/>
      <c r="P111" s="11"/>
      <c r="Q111" s="11"/>
      <c r="R111" s="11"/>
    </row>
    <row r="112" spans="1:18" ht="15.75" customHeight="1" x14ac:dyDescent="0.3">
      <c r="A112" s="11"/>
      <c r="B112" s="11"/>
      <c r="C112" s="11"/>
      <c r="D112" s="43"/>
      <c r="E112" s="43"/>
      <c r="F112" s="11"/>
      <c r="G112" s="11"/>
      <c r="H112" s="11"/>
      <c r="I112" s="11"/>
      <c r="J112" s="11"/>
      <c r="K112" s="11"/>
      <c r="L112" s="11"/>
      <c r="M112" s="11"/>
      <c r="N112" s="11"/>
      <c r="O112" s="11"/>
      <c r="P112" s="11"/>
      <c r="Q112" s="11"/>
      <c r="R112" s="11"/>
    </row>
    <row r="113" spans="1:18" ht="15.75" customHeight="1" x14ac:dyDescent="0.3">
      <c r="A113" s="11"/>
      <c r="B113" s="11"/>
      <c r="C113" s="11"/>
      <c r="D113" s="43"/>
      <c r="E113" s="43"/>
      <c r="F113" s="11"/>
      <c r="G113" s="11"/>
      <c r="H113" s="11"/>
      <c r="I113" s="11"/>
      <c r="J113" s="11"/>
      <c r="K113" s="11"/>
      <c r="L113" s="11"/>
      <c r="M113" s="11"/>
      <c r="N113" s="11"/>
      <c r="O113" s="11"/>
      <c r="P113" s="11"/>
      <c r="Q113" s="11"/>
      <c r="R113" s="11"/>
    </row>
    <row r="114" spans="1:18" ht="15.75" customHeight="1" x14ac:dyDescent="0.3">
      <c r="A114" s="11"/>
      <c r="B114" s="11"/>
      <c r="C114" s="11"/>
      <c r="D114" s="43"/>
      <c r="E114" s="43"/>
      <c r="F114" s="11"/>
      <c r="G114" s="11"/>
      <c r="H114" s="11"/>
      <c r="I114" s="11"/>
      <c r="J114" s="11"/>
      <c r="K114" s="11"/>
      <c r="L114" s="11"/>
      <c r="M114" s="11"/>
      <c r="N114" s="11"/>
      <c r="O114" s="11"/>
      <c r="P114" s="11"/>
      <c r="Q114" s="11"/>
      <c r="R114" s="11"/>
    </row>
    <row r="115" spans="1:18" ht="15.75" customHeight="1" x14ac:dyDescent="0.3">
      <c r="A115" s="11"/>
      <c r="B115" s="11"/>
      <c r="C115" s="11"/>
      <c r="D115" s="43"/>
      <c r="E115" s="43"/>
      <c r="F115" s="11"/>
      <c r="G115" s="11"/>
      <c r="H115" s="11"/>
      <c r="I115" s="11"/>
      <c r="J115" s="11"/>
      <c r="K115" s="11"/>
      <c r="L115" s="11"/>
      <c r="M115" s="11"/>
      <c r="N115" s="11"/>
      <c r="O115" s="11"/>
      <c r="P115" s="11"/>
      <c r="Q115" s="11"/>
      <c r="R115" s="11"/>
    </row>
    <row r="116" spans="1:18" ht="15.75" customHeight="1" x14ac:dyDescent="0.3">
      <c r="A116" s="11"/>
      <c r="B116" s="11"/>
      <c r="C116" s="11"/>
      <c r="D116" s="43"/>
      <c r="E116" s="43"/>
      <c r="F116" s="11"/>
      <c r="G116" s="11"/>
      <c r="H116" s="11"/>
      <c r="I116" s="11"/>
      <c r="J116" s="11"/>
      <c r="K116" s="11"/>
      <c r="L116" s="11"/>
      <c r="M116" s="11"/>
      <c r="N116" s="11"/>
      <c r="O116" s="11"/>
      <c r="P116" s="11"/>
      <c r="Q116" s="11"/>
      <c r="R116" s="11"/>
    </row>
    <row r="117" spans="1:18" ht="15.75" customHeight="1" x14ac:dyDescent="0.3">
      <c r="A117" s="11"/>
      <c r="B117" s="11"/>
      <c r="C117" s="11"/>
      <c r="D117" s="43"/>
      <c r="E117" s="43"/>
      <c r="F117" s="11"/>
      <c r="G117" s="11"/>
      <c r="H117" s="11"/>
      <c r="I117" s="11"/>
      <c r="J117" s="11"/>
      <c r="K117" s="11"/>
      <c r="L117" s="11"/>
      <c r="M117" s="11"/>
      <c r="N117" s="11"/>
      <c r="O117" s="11"/>
      <c r="P117" s="11"/>
      <c r="Q117" s="11"/>
      <c r="R117" s="11"/>
    </row>
    <row r="118" spans="1:18" ht="15.75" customHeight="1" x14ac:dyDescent="0.3">
      <c r="A118" s="11"/>
      <c r="B118" s="11"/>
      <c r="C118" s="11"/>
      <c r="D118" s="43"/>
      <c r="E118" s="43"/>
      <c r="F118" s="11"/>
      <c r="G118" s="11"/>
      <c r="H118" s="11"/>
      <c r="I118" s="11"/>
      <c r="J118" s="11"/>
      <c r="K118" s="11"/>
      <c r="L118" s="11"/>
      <c r="M118" s="11"/>
      <c r="N118" s="11"/>
      <c r="O118" s="11"/>
      <c r="P118" s="11"/>
      <c r="Q118" s="11"/>
      <c r="R118" s="11"/>
    </row>
    <row r="119" spans="1:18" ht="15.75" customHeight="1" x14ac:dyDescent="0.3">
      <c r="A119" s="11"/>
      <c r="B119" s="11"/>
      <c r="C119" s="11"/>
      <c r="D119" s="43"/>
      <c r="E119" s="43"/>
      <c r="F119" s="11"/>
      <c r="G119" s="11"/>
      <c r="H119" s="11"/>
      <c r="I119" s="11"/>
      <c r="J119" s="11"/>
      <c r="K119" s="11"/>
      <c r="L119" s="11"/>
      <c r="M119" s="11"/>
      <c r="N119" s="11"/>
      <c r="O119" s="11"/>
      <c r="P119" s="11"/>
      <c r="Q119" s="11"/>
      <c r="R119" s="11"/>
    </row>
    <row r="120" spans="1:18" ht="15.75" customHeight="1" x14ac:dyDescent="0.3">
      <c r="A120" s="11"/>
      <c r="B120" s="11"/>
      <c r="C120" s="11"/>
      <c r="D120" s="43"/>
      <c r="E120" s="43"/>
      <c r="F120" s="11"/>
      <c r="G120" s="11"/>
      <c r="H120" s="11"/>
      <c r="I120" s="11"/>
      <c r="J120" s="11"/>
      <c r="K120" s="11"/>
      <c r="L120" s="11"/>
      <c r="M120" s="11"/>
      <c r="N120" s="11"/>
      <c r="O120" s="11"/>
      <c r="P120" s="11"/>
      <c r="Q120" s="11"/>
      <c r="R120" s="11"/>
    </row>
    <row r="121" spans="1:18" ht="15.75" customHeight="1" x14ac:dyDescent="0.3">
      <c r="A121" s="11"/>
      <c r="B121" s="11"/>
      <c r="C121" s="11"/>
      <c r="D121" s="43"/>
      <c r="E121" s="43"/>
      <c r="F121" s="11"/>
      <c r="G121" s="11"/>
      <c r="H121" s="11"/>
      <c r="I121" s="11"/>
      <c r="J121" s="11"/>
      <c r="K121" s="11"/>
      <c r="L121" s="11"/>
      <c r="M121" s="11"/>
      <c r="N121" s="11"/>
      <c r="O121" s="11"/>
      <c r="P121" s="11"/>
      <c r="Q121" s="11"/>
      <c r="R121" s="11"/>
    </row>
    <row r="122" spans="1:18" ht="15.75" customHeight="1" x14ac:dyDescent="0.3">
      <c r="A122" s="11"/>
      <c r="B122" s="11"/>
      <c r="C122" s="11"/>
      <c r="D122" s="43"/>
      <c r="E122" s="43"/>
      <c r="F122" s="11"/>
      <c r="G122" s="11"/>
      <c r="H122" s="11"/>
      <c r="I122" s="11"/>
      <c r="J122" s="11"/>
      <c r="K122" s="11"/>
      <c r="L122" s="11"/>
      <c r="M122" s="11"/>
      <c r="N122" s="11"/>
      <c r="O122" s="11"/>
      <c r="P122" s="11"/>
      <c r="Q122" s="11"/>
      <c r="R122" s="11"/>
    </row>
    <row r="123" spans="1:18" ht="15.75" customHeight="1" x14ac:dyDescent="0.3">
      <c r="A123" s="11"/>
      <c r="B123" s="11"/>
      <c r="C123" s="11"/>
      <c r="D123" s="43"/>
      <c r="E123" s="43"/>
      <c r="F123" s="11"/>
      <c r="G123" s="11"/>
      <c r="H123" s="11"/>
      <c r="I123" s="11"/>
      <c r="J123" s="11"/>
      <c r="K123" s="11"/>
      <c r="L123" s="11"/>
      <c r="M123" s="11"/>
      <c r="N123" s="11"/>
      <c r="O123" s="11"/>
      <c r="P123" s="11"/>
      <c r="Q123" s="11"/>
      <c r="R123" s="11"/>
    </row>
    <row r="124" spans="1:18" ht="15.75" customHeight="1" x14ac:dyDescent="0.3">
      <c r="A124" s="11"/>
      <c r="B124" s="11"/>
      <c r="C124" s="11"/>
      <c r="D124" s="43"/>
      <c r="E124" s="43"/>
      <c r="F124" s="11"/>
      <c r="G124" s="11"/>
      <c r="H124" s="11"/>
      <c r="I124" s="11"/>
      <c r="J124" s="11"/>
      <c r="K124" s="11"/>
      <c r="L124" s="11"/>
      <c r="M124" s="11"/>
      <c r="N124" s="11"/>
      <c r="O124" s="11"/>
      <c r="P124" s="11"/>
      <c r="Q124" s="11"/>
      <c r="R124" s="11"/>
    </row>
    <row r="125" spans="1:18" ht="15.75" customHeight="1" x14ac:dyDescent="0.3">
      <c r="A125" s="11"/>
      <c r="B125" s="11"/>
      <c r="C125" s="11"/>
      <c r="D125" s="43"/>
      <c r="E125" s="43"/>
      <c r="F125" s="11"/>
      <c r="G125" s="11"/>
      <c r="H125" s="11"/>
      <c r="I125" s="11"/>
      <c r="J125" s="11"/>
      <c r="K125" s="11"/>
      <c r="L125" s="11"/>
      <c r="M125" s="11"/>
      <c r="N125" s="11"/>
      <c r="O125" s="11"/>
      <c r="P125" s="11"/>
      <c r="Q125" s="11"/>
      <c r="R125" s="11"/>
    </row>
    <row r="126" spans="1:18" ht="15.75" customHeight="1" x14ac:dyDescent="0.3">
      <c r="A126" s="11"/>
      <c r="B126" s="11"/>
      <c r="C126" s="11"/>
      <c r="D126" s="43"/>
      <c r="E126" s="43"/>
      <c r="F126" s="11"/>
      <c r="G126" s="11"/>
      <c r="H126" s="11"/>
      <c r="I126" s="11"/>
      <c r="J126" s="11"/>
      <c r="K126" s="11"/>
      <c r="L126" s="11"/>
      <c r="M126" s="11"/>
      <c r="N126" s="11"/>
      <c r="O126" s="11"/>
      <c r="P126" s="11"/>
      <c r="Q126" s="11"/>
      <c r="R126" s="11"/>
    </row>
    <row r="127" spans="1:18" ht="15.75" customHeight="1" x14ac:dyDescent="0.3">
      <c r="A127" s="11"/>
      <c r="B127" s="11"/>
      <c r="C127" s="11"/>
      <c r="D127" s="43"/>
      <c r="E127" s="43"/>
      <c r="F127" s="11"/>
      <c r="G127" s="11"/>
      <c r="H127" s="11"/>
      <c r="I127" s="11"/>
      <c r="J127" s="11"/>
      <c r="K127" s="11"/>
      <c r="L127" s="11"/>
      <c r="M127" s="11"/>
      <c r="N127" s="11"/>
      <c r="O127" s="11"/>
      <c r="P127" s="11"/>
      <c r="Q127" s="11"/>
      <c r="R127" s="11"/>
    </row>
    <row r="128" spans="1:18" ht="15.75" customHeight="1" x14ac:dyDescent="0.3">
      <c r="A128" s="11"/>
      <c r="B128" s="11"/>
      <c r="C128" s="11"/>
      <c r="D128" s="43"/>
      <c r="E128" s="43"/>
      <c r="F128" s="11"/>
      <c r="G128" s="11"/>
      <c r="H128" s="11"/>
      <c r="I128" s="11"/>
      <c r="J128" s="11"/>
      <c r="K128" s="11"/>
      <c r="L128" s="11"/>
      <c r="M128" s="11"/>
      <c r="N128" s="11"/>
      <c r="O128" s="11"/>
      <c r="P128" s="11"/>
      <c r="Q128" s="11"/>
      <c r="R128" s="11"/>
    </row>
    <row r="129" spans="1:18" ht="15.75" customHeight="1" x14ac:dyDescent="0.3">
      <c r="A129" s="11"/>
      <c r="B129" s="11"/>
      <c r="C129" s="11"/>
      <c r="D129" s="43"/>
      <c r="E129" s="43"/>
      <c r="F129" s="11"/>
      <c r="G129" s="11"/>
      <c r="H129" s="11"/>
      <c r="I129" s="11"/>
      <c r="J129" s="11"/>
      <c r="K129" s="11"/>
      <c r="L129" s="11"/>
      <c r="M129" s="11"/>
      <c r="N129" s="11"/>
      <c r="O129" s="11"/>
      <c r="P129" s="11"/>
      <c r="Q129" s="11"/>
      <c r="R129" s="11"/>
    </row>
    <row r="130" spans="1:18" ht="15.75" customHeight="1" x14ac:dyDescent="0.3">
      <c r="A130" s="11"/>
      <c r="B130" s="11"/>
      <c r="C130" s="11"/>
      <c r="D130" s="43"/>
      <c r="E130" s="43"/>
      <c r="F130" s="11"/>
      <c r="G130" s="11"/>
      <c r="H130" s="11"/>
      <c r="I130" s="11"/>
      <c r="J130" s="11"/>
      <c r="K130" s="11"/>
      <c r="L130" s="11"/>
      <c r="M130" s="11"/>
      <c r="N130" s="11"/>
      <c r="O130" s="11"/>
      <c r="P130" s="11"/>
      <c r="Q130" s="11"/>
      <c r="R130" s="11"/>
    </row>
    <row r="131" spans="1:18" ht="15.75" customHeight="1" x14ac:dyDescent="0.3">
      <c r="A131" s="11"/>
      <c r="B131" s="11"/>
      <c r="C131" s="11"/>
      <c r="D131" s="43"/>
      <c r="E131" s="43"/>
      <c r="F131" s="11"/>
      <c r="G131" s="11"/>
      <c r="H131" s="11"/>
      <c r="I131" s="11"/>
      <c r="J131" s="11"/>
      <c r="K131" s="11"/>
      <c r="L131" s="11"/>
      <c r="M131" s="11"/>
      <c r="N131" s="11"/>
      <c r="O131" s="11"/>
      <c r="P131" s="11"/>
      <c r="Q131" s="11"/>
      <c r="R131" s="11"/>
    </row>
    <row r="132" spans="1:18" ht="15.75" customHeight="1" x14ac:dyDescent="0.3">
      <c r="A132" s="11"/>
      <c r="B132" s="11"/>
      <c r="C132" s="11"/>
      <c r="D132" s="43"/>
      <c r="E132" s="43"/>
      <c r="F132" s="11"/>
      <c r="G132" s="11"/>
      <c r="H132" s="11"/>
      <c r="I132" s="11"/>
      <c r="J132" s="11"/>
      <c r="K132" s="11"/>
      <c r="L132" s="11"/>
      <c r="M132" s="11"/>
      <c r="N132" s="11"/>
      <c r="O132" s="11"/>
      <c r="P132" s="11"/>
      <c r="Q132" s="11"/>
      <c r="R132" s="11"/>
    </row>
    <row r="133" spans="1:18" ht="15.75" customHeight="1" x14ac:dyDescent="0.3">
      <c r="A133" s="11"/>
      <c r="B133" s="11"/>
      <c r="C133" s="11"/>
      <c r="D133" s="43"/>
      <c r="E133" s="43"/>
      <c r="F133" s="11"/>
      <c r="G133" s="11"/>
      <c r="H133" s="11"/>
      <c r="I133" s="11"/>
      <c r="J133" s="11"/>
      <c r="K133" s="11"/>
      <c r="L133" s="11"/>
      <c r="M133" s="11"/>
      <c r="N133" s="11"/>
      <c r="O133" s="11"/>
      <c r="P133" s="11"/>
      <c r="Q133" s="11"/>
      <c r="R133" s="11"/>
    </row>
    <row r="134" spans="1:18" ht="15.75" customHeight="1" x14ac:dyDescent="0.3">
      <c r="A134" s="11"/>
      <c r="B134" s="11"/>
      <c r="C134" s="11"/>
      <c r="D134" s="43"/>
      <c r="E134" s="43"/>
      <c r="F134" s="11"/>
      <c r="G134" s="11"/>
      <c r="H134" s="11"/>
      <c r="I134" s="11"/>
      <c r="J134" s="11"/>
      <c r="K134" s="11"/>
      <c r="L134" s="11"/>
      <c r="M134" s="11"/>
      <c r="N134" s="11"/>
      <c r="O134" s="11"/>
      <c r="P134" s="11"/>
      <c r="Q134" s="11"/>
      <c r="R134" s="11"/>
    </row>
    <row r="135" spans="1:18" ht="15.75" customHeight="1" x14ac:dyDescent="0.3">
      <c r="A135" s="11"/>
      <c r="B135" s="11"/>
      <c r="C135" s="11"/>
      <c r="D135" s="43"/>
      <c r="E135" s="43"/>
      <c r="F135" s="11"/>
      <c r="G135" s="11"/>
      <c r="H135" s="11"/>
      <c r="I135" s="11"/>
      <c r="J135" s="11"/>
      <c r="K135" s="11"/>
      <c r="L135" s="11"/>
      <c r="M135" s="11"/>
      <c r="N135" s="11"/>
      <c r="O135" s="11"/>
      <c r="P135" s="11"/>
      <c r="Q135" s="11"/>
      <c r="R135" s="11"/>
    </row>
    <row r="136" spans="1:18" ht="15.75" customHeight="1" x14ac:dyDescent="0.3">
      <c r="A136" s="11"/>
      <c r="B136" s="11"/>
      <c r="C136" s="11"/>
      <c r="D136" s="43"/>
      <c r="E136" s="43"/>
      <c r="F136" s="11"/>
      <c r="G136" s="11"/>
      <c r="H136" s="11"/>
      <c r="I136" s="11"/>
      <c r="J136" s="11"/>
      <c r="K136" s="11"/>
      <c r="L136" s="11"/>
      <c r="M136" s="11"/>
      <c r="N136" s="11"/>
      <c r="O136" s="11"/>
      <c r="P136" s="11"/>
      <c r="Q136" s="11"/>
      <c r="R136" s="11"/>
    </row>
    <row r="137" spans="1:18" ht="15.75" customHeight="1" x14ac:dyDescent="0.3">
      <c r="A137" s="11"/>
      <c r="B137" s="11"/>
      <c r="C137" s="11"/>
      <c r="D137" s="43"/>
      <c r="E137" s="43"/>
      <c r="F137" s="11"/>
      <c r="G137" s="11"/>
      <c r="H137" s="11"/>
      <c r="I137" s="11"/>
      <c r="J137" s="11"/>
      <c r="K137" s="11"/>
      <c r="L137" s="11"/>
      <c r="M137" s="11"/>
      <c r="N137" s="11"/>
      <c r="O137" s="11"/>
      <c r="P137" s="11"/>
      <c r="Q137" s="11"/>
      <c r="R137" s="11"/>
    </row>
    <row r="138" spans="1:18" ht="15.75" customHeight="1" x14ac:dyDescent="0.3">
      <c r="A138" s="11"/>
      <c r="B138" s="11"/>
      <c r="C138" s="11"/>
      <c r="D138" s="43"/>
      <c r="E138" s="43"/>
      <c r="F138" s="11"/>
      <c r="G138" s="11"/>
      <c r="H138" s="11"/>
      <c r="I138" s="11"/>
      <c r="J138" s="11"/>
      <c r="K138" s="11"/>
      <c r="L138" s="11"/>
      <c r="M138" s="11"/>
      <c r="N138" s="11"/>
      <c r="O138" s="11"/>
      <c r="P138" s="11"/>
      <c r="Q138" s="11"/>
      <c r="R138" s="11"/>
    </row>
    <row r="139" spans="1:18" ht="15.75" customHeight="1" x14ac:dyDescent="0.3">
      <c r="A139" s="11"/>
      <c r="B139" s="11"/>
      <c r="C139" s="11"/>
      <c r="D139" s="43"/>
      <c r="E139" s="43"/>
      <c r="F139" s="11"/>
      <c r="G139" s="11"/>
      <c r="H139" s="11"/>
      <c r="I139" s="11"/>
      <c r="J139" s="11"/>
      <c r="K139" s="11"/>
      <c r="L139" s="11"/>
      <c r="M139" s="11"/>
      <c r="N139" s="11"/>
      <c r="O139" s="11"/>
      <c r="P139" s="11"/>
      <c r="Q139" s="11"/>
      <c r="R139" s="11"/>
    </row>
    <row r="140" spans="1:18" ht="15.75" customHeight="1" x14ac:dyDescent="0.3">
      <c r="A140" s="11"/>
      <c r="B140" s="11"/>
      <c r="C140" s="11"/>
      <c r="D140" s="43"/>
      <c r="E140" s="43"/>
      <c r="F140" s="11"/>
      <c r="G140" s="11"/>
      <c r="H140" s="11"/>
      <c r="I140" s="11"/>
      <c r="J140" s="11"/>
      <c r="K140" s="11"/>
      <c r="L140" s="11"/>
      <c r="M140" s="11"/>
      <c r="N140" s="11"/>
      <c r="O140" s="11"/>
      <c r="P140" s="11"/>
      <c r="Q140" s="11"/>
      <c r="R140" s="11"/>
    </row>
    <row r="141" spans="1:18" ht="15.75" customHeight="1" x14ac:dyDescent="0.3">
      <c r="A141" s="11"/>
      <c r="B141" s="11"/>
      <c r="C141" s="11"/>
      <c r="D141" s="43"/>
      <c r="E141" s="43"/>
      <c r="F141" s="11"/>
      <c r="G141" s="11"/>
      <c r="H141" s="11"/>
      <c r="I141" s="11"/>
      <c r="J141" s="11"/>
      <c r="K141" s="11"/>
      <c r="L141" s="11"/>
      <c r="M141" s="11"/>
      <c r="N141" s="11"/>
      <c r="O141" s="11"/>
      <c r="P141" s="11"/>
      <c r="Q141" s="11"/>
      <c r="R141" s="11"/>
    </row>
    <row r="142" spans="1:18" ht="15.75" customHeight="1" x14ac:dyDescent="0.3">
      <c r="A142" s="11"/>
      <c r="B142" s="11"/>
      <c r="C142" s="11"/>
      <c r="D142" s="43"/>
      <c r="E142" s="43"/>
      <c r="F142" s="11"/>
      <c r="G142" s="11"/>
      <c r="H142" s="11"/>
      <c r="I142" s="11"/>
      <c r="J142" s="11"/>
      <c r="K142" s="11"/>
      <c r="L142" s="11"/>
      <c r="M142" s="11"/>
      <c r="N142" s="11"/>
      <c r="O142" s="11"/>
      <c r="P142" s="11"/>
      <c r="Q142" s="11"/>
      <c r="R142" s="11"/>
    </row>
    <row r="143" spans="1:18" ht="15.75" customHeight="1" x14ac:dyDescent="0.3">
      <c r="A143" s="11"/>
      <c r="B143" s="11"/>
      <c r="C143" s="11"/>
      <c r="D143" s="43"/>
      <c r="E143" s="43"/>
      <c r="F143" s="11"/>
      <c r="G143" s="11"/>
      <c r="H143" s="11"/>
      <c r="I143" s="11"/>
      <c r="J143" s="11"/>
      <c r="K143" s="11"/>
      <c r="L143" s="11"/>
      <c r="M143" s="11"/>
      <c r="N143" s="11"/>
      <c r="O143" s="11"/>
      <c r="P143" s="11"/>
      <c r="Q143" s="11"/>
      <c r="R143" s="11"/>
    </row>
    <row r="144" spans="1:18" ht="15.75" customHeight="1" x14ac:dyDescent="0.3">
      <c r="A144" s="11"/>
      <c r="B144" s="11"/>
      <c r="C144" s="11"/>
      <c r="D144" s="43"/>
      <c r="E144" s="43"/>
      <c r="F144" s="11"/>
      <c r="G144" s="11"/>
      <c r="H144" s="11"/>
      <c r="I144" s="11"/>
      <c r="J144" s="11"/>
      <c r="K144" s="11"/>
      <c r="L144" s="11"/>
      <c r="M144" s="11"/>
      <c r="N144" s="11"/>
      <c r="O144" s="11"/>
      <c r="P144" s="11"/>
      <c r="Q144" s="11"/>
      <c r="R144" s="11"/>
    </row>
    <row r="145" spans="1:18" ht="15.75" customHeight="1" x14ac:dyDescent="0.3">
      <c r="A145" s="11"/>
      <c r="B145" s="11"/>
      <c r="C145" s="11"/>
      <c r="D145" s="43"/>
      <c r="E145" s="43"/>
      <c r="F145" s="11"/>
      <c r="G145" s="11"/>
      <c r="H145" s="11"/>
      <c r="I145" s="11"/>
      <c r="J145" s="11"/>
      <c r="K145" s="11"/>
      <c r="L145" s="11"/>
      <c r="M145" s="11"/>
      <c r="N145" s="11"/>
      <c r="O145" s="11"/>
      <c r="P145" s="11"/>
      <c r="Q145" s="11"/>
      <c r="R145" s="11"/>
    </row>
    <row r="146" spans="1:18" ht="15.75" customHeight="1" x14ac:dyDescent="0.3">
      <c r="A146" s="11"/>
      <c r="B146" s="11"/>
      <c r="C146" s="11"/>
      <c r="D146" s="43"/>
      <c r="E146" s="43"/>
      <c r="F146" s="11"/>
      <c r="G146" s="11"/>
      <c r="H146" s="11"/>
      <c r="I146" s="11"/>
      <c r="J146" s="11"/>
      <c r="K146" s="11"/>
      <c r="L146" s="11"/>
      <c r="M146" s="11"/>
      <c r="N146" s="11"/>
      <c r="O146" s="11"/>
      <c r="P146" s="11"/>
      <c r="Q146" s="11"/>
      <c r="R146" s="11"/>
    </row>
    <row r="147" spans="1:18" ht="15.75" customHeight="1" x14ac:dyDescent="0.3">
      <c r="A147" s="11"/>
      <c r="B147" s="11"/>
      <c r="C147" s="11"/>
      <c r="D147" s="43"/>
      <c r="E147" s="43"/>
      <c r="F147" s="11"/>
      <c r="G147" s="11"/>
      <c r="H147" s="11"/>
      <c r="I147" s="11"/>
      <c r="J147" s="11"/>
      <c r="K147" s="11"/>
      <c r="L147" s="11"/>
      <c r="M147" s="11"/>
      <c r="N147" s="11"/>
      <c r="O147" s="11"/>
      <c r="P147" s="11"/>
      <c r="Q147" s="11"/>
      <c r="R147" s="11"/>
    </row>
    <row r="148" spans="1:18" ht="15.75" customHeight="1" x14ac:dyDescent="0.3">
      <c r="A148" s="11"/>
      <c r="B148" s="11"/>
      <c r="C148" s="11"/>
      <c r="D148" s="43"/>
      <c r="E148" s="43"/>
      <c r="F148" s="11"/>
      <c r="G148" s="11"/>
      <c r="H148" s="11"/>
      <c r="I148" s="11"/>
      <c r="J148" s="11"/>
      <c r="K148" s="11"/>
      <c r="L148" s="11"/>
      <c r="M148" s="11"/>
      <c r="N148" s="11"/>
      <c r="O148" s="11"/>
      <c r="P148" s="11"/>
      <c r="Q148" s="11"/>
      <c r="R148" s="11"/>
    </row>
    <row r="149" spans="1:18" ht="15.75" customHeight="1" x14ac:dyDescent="0.3">
      <c r="A149" s="11"/>
      <c r="B149" s="11"/>
      <c r="C149" s="11"/>
      <c r="D149" s="43"/>
      <c r="E149" s="43"/>
      <c r="F149" s="11"/>
      <c r="G149" s="11"/>
      <c r="H149" s="11"/>
      <c r="I149" s="11"/>
      <c r="J149" s="11"/>
      <c r="K149" s="11"/>
      <c r="L149" s="11"/>
      <c r="M149" s="11"/>
      <c r="N149" s="11"/>
      <c r="O149" s="11"/>
      <c r="P149" s="11"/>
      <c r="Q149" s="11"/>
      <c r="R149" s="11"/>
    </row>
    <row r="150" spans="1:18" ht="15.75" customHeight="1" x14ac:dyDescent="0.3">
      <c r="A150" s="11"/>
      <c r="B150" s="11"/>
      <c r="C150" s="11"/>
      <c r="D150" s="43"/>
      <c r="E150" s="43"/>
      <c r="F150" s="11"/>
      <c r="G150" s="11"/>
      <c r="H150" s="11"/>
      <c r="I150" s="11"/>
      <c r="J150" s="11"/>
      <c r="K150" s="11"/>
      <c r="L150" s="11"/>
      <c r="M150" s="11"/>
      <c r="N150" s="11"/>
      <c r="O150" s="11"/>
      <c r="P150" s="11"/>
      <c r="Q150" s="11"/>
      <c r="R150" s="11"/>
    </row>
    <row r="151" spans="1:18" ht="15.75" customHeight="1" x14ac:dyDescent="0.3">
      <c r="A151" s="11"/>
      <c r="B151" s="11"/>
      <c r="C151" s="11"/>
      <c r="D151" s="43"/>
      <c r="E151" s="43"/>
      <c r="F151" s="11"/>
      <c r="G151" s="11"/>
      <c r="H151" s="11"/>
      <c r="I151" s="11"/>
      <c r="J151" s="11"/>
      <c r="K151" s="11"/>
      <c r="L151" s="11"/>
      <c r="M151" s="11"/>
      <c r="N151" s="11"/>
      <c r="O151" s="11"/>
      <c r="P151" s="11"/>
      <c r="Q151" s="11"/>
      <c r="R151" s="11"/>
    </row>
    <row r="152" spans="1:18" ht="15.75" customHeight="1" x14ac:dyDescent="0.3">
      <c r="A152" s="11"/>
      <c r="B152" s="11"/>
      <c r="C152" s="11"/>
      <c r="D152" s="43"/>
      <c r="E152" s="43"/>
      <c r="F152" s="11"/>
      <c r="G152" s="11"/>
      <c r="H152" s="11"/>
      <c r="I152" s="11"/>
      <c r="J152" s="11"/>
      <c r="K152" s="11"/>
      <c r="L152" s="11"/>
      <c r="M152" s="11"/>
      <c r="N152" s="11"/>
      <c r="O152" s="11"/>
      <c r="P152" s="11"/>
      <c r="Q152" s="11"/>
      <c r="R152" s="11"/>
    </row>
    <row r="153" spans="1:18" ht="15.75" customHeight="1" x14ac:dyDescent="0.3">
      <c r="A153" s="11"/>
      <c r="B153" s="11"/>
      <c r="C153" s="11"/>
      <c r="D153" s="43"/>
      <c r="E153" s="43"/>
      <c r="F153" s="11"/>
      <c r="G153" s="11"/>
      <c r="H153" s="11"/>
      <c r="I153" s="11"/>
      <c r="J153" s="11"/>
      <c r="K153" s="11"/>
      <c r="L153" s="11"/>
      <c r="M153" s="11"/>
      <c r="N153" s="11"/>
      <c r="O153" s="11"/>
      <c r="P153" s="11"/>
      <c r="Q153" s="11"/>
      <c r="R153" s="11"/>
    </row>
    <row r="154" spans="1:18" ht="15.75" customHeight="1" x14ac:dyDescent="0.3">
      <c r="A154" s="11"/>
      <c r="B154" s="11"/>
      <c r="C154" s="11"/>
      <c r="D154" s="43"/>
      <c r="E154" s="43"/>
      <c r="F154" s="11"/>
      <c r="G154" s="11"/>
      <c r="H154" s="11"/>
      <c r="I154" s="11"/>
      <c r="J154" s="11"/>
      <c r="K154" s="11"/>
      <c r="L154" s="11"/>
      <c r="M154" s="11"/>
      <c r="N154" s="11"/>
      <c r="O154" s="11"/>
      <c r="P154" s="11"/>
      <c r="Q154" s="11"/>
      <c r="R154" s="11"/>
    </row>
    <row r="155" spans="1:18" ht="15.75" customHeight="1" x14ac:dyDescent="0.3">
      <c r="A155" s="11"/>
      <c r="B155" s="11"/>
      <c r="C155" s="11"/>
      <c r="D155" s="43"/>
      <c r="E155" s="43"/>
      <c r="F155" s="11"/>
      <c r="G155" s="11"/>
      <c r="H155" s="11"/>
      <c r="I155" s="11"/>
      <c r="J155" s="11"/>
      <c r="K155" s="11"/>
      <c r="L155" s="11"/>
      <c r="M155" s="11"/>
      <c r="N155" s="11"/>
      <c r="O155" s="11"/>
      <c r="P155" s="11"/>
      <c r="Q155" s="11"/>
      <c r="R155" s="11"/>
    </row>
    <row r="156" spans="1:18" ht="15.75" customHeight="1" x14ac:dyDescent="0.3">
      <c r="A156" s="11"/>
      <c r="B156" s="11"/>
      <c r="C156" s="11"/>
      <c r="D156" s="43"/>
      <c r="E156" s="43"/>
      <c r="F156" s="11"/>
      <c r="G156" s="11"/>
      <c r="H156" s="11"/>
      <c r="I156" s="11"/>
      <c r="J156" s="11"/>
      <c r="K156" s="11"/>
      <c r="L156" s="11"/>
      <c r="M156" s="11"/>
      <c r="N156" s="11"/>
      <c r="O156" s="11"/>
      <c r="P156" s="11"/>
      <c r="Q156" s="11"/>
      <c r="R156" s="11"/>
    </row>
    <row r="157" spans="1:18" ht="15.75" customHeight="1" x14ac:dyDescent="0.3">
      <c r="A157" s="11"/>
      <c r="B157" s="11"/>
      <c r="C157" s="11"/>
      <c r="D157" s="43"/>
      <c r="E157" s="43"/>
      <c r="F157" s="11"/>
      <c r="G157" s="11"/>
      <c r="H157" s="11"/>
      <c r="I157" s="11"/>
      <c r="J157" s="11"/>
      <c r="K157" s="11"/>
      <c r="L157" s="11"/>
      <c r="M157" s="11"/>
      <c r="N157" s="11"/>
      <c r="O157" s="11"/>
      <c r="P157" s="11"/>
      <c r="Q157" s="11"/>
      <c r="R157" s="11"/>
    </row>
    <row r="158" spans="1:18" ht="15.75" customHeight="1" x14ac:dyDescent="0.3">
      <c r="A158" s="11"/>
      <c r="B158" s="11"/>
      <c r="C158" s="11"/>
      <c r="D158" s="43"/>
      <c r="E158" s="43"/>
      <c r="F158" s="11"/>
      <c r="G158" s="11"/>
      <c r="H158" s="11"/>
      <c r="I158" s="11"/>
      <c r="J158" s="11"/>
      <c r="K158" s="11"/>
      <c r="L158" s="11"/>
      <c r="M158" s="11"/>
      <c r="N158" s="11"/>
      <c r="O158" s="11"/>
      <c r="P158" s="11"/>
      <c r="Q158" s="11"/>
      <c r="R158" s="11"/>
    </row>
    <row r="159" spans="1:18" ht="15.75" customHeight="1" x14ac:dyDescent="0.3">
      <c r="A159" s="11"/>
      <c r="B159" s="11"/>
      <c r="C159" s="11"/>
      <c r="D159" s="43"/>
      <c r="E159" s="43"/>
      <c r="F159" s="11"/>
      <c r="G159" s="11"/>
      <c r="H159" s="11"/>
      <c r="I159" s="11"/>
      <c r="J159" s="11"/>
      <c r="K159" s="11"/>
      <c r="L159" s="11"/>
      <c r="M159" s="11"/>
      <c r="N159" s="11"/>
      <c r="O159" s="11"/>
      <c r="P159" s="11"/>
      <c r="Q159" s="11"/>
      <c r="R159" s="11"/>
    </row>
    <row r="160" spans="1:18" ht="15.75" customHeight="1" x14ac:dyDescent="0.3">
      <c r="A160" s="11"/>
      <c r="B160" s="11"/>
      <c r="C160" s="11"/>
      <c r="D160" s="43"/>
      <c r="E160" s="43"/>
      <c r="F160" s="11"/>
      <c r="G160" s="11"/>
      <c r="H160" s="11"/>
      <c r="I160" s="11"/>
      <c r="J160" s="11"/>
      <c r="K160" s="11"/>
      <c r="L160" s="11"/>
      <c r="M160" s="11"/>
      <c r="N160" s="11"/>
      <c r="O160" s="11"/>
      <c r="P160" s="11"/>
      <c r="Q160" s="11"/>
      <c r="R160" s="11"/>
    </row>
    <row r="161" spans="1:18" ht="15.75" customHeight="1" x14ac:dyDescent="0.3">
      <c r="A161" s="11"/>
      <c r="B161" s="11"/>
      <c r="C161" s="11"/>
      <c r="D161" s="43"/>
      <c r="E161" s="43"/>
      <c r="F161" s="11"/>
      <c r="G161" s="11"/>
      <c r="H161" s="11"/>
      <c r="I161" s="11"/>
      <c r="J161" s="11"/>
      <c r="K161" s="11"/>
      <c r="L161" s="11"/>
      <c r="M161" s="11"/>
      <c r="N161" s="11"/>
      <c r="O161" s="11"/>
      <c r="P161" s="11"/>
      <c r="Q161" s="11"/>
      <c r="R161" s="11"/>
    </row>
    <row r="162" spans="1:18" ht="15.75" customHeight="1" x14ac:dyDescent="0.3">
      <c r="A162" s="11"/>
      <c r="B162" s="11"/>
      <c r="C162" s="11"/>
      <c r="D162" s="43"/>
      <c r="E162" s="43"/>
      <c r="F162" s="11"/>
      <c r="G162" s="11"/>
      <c r="H162" s="11"/>
      <c r="I162" s="11"/>
      <c r="J162" s="11"/>
      <c r="K162" s="11"/>
      <c r="L162" s="11"/>
      <c r="M162" s="11"/>
      <c r="N162" s="11"/>
      <c r="O162" s="11"/>
      <c r="P162" s="11"/>
      <c r="Q162" s="11"/>
      <c r="R162" s="11"/>
    </row>
    <row r="163" spans="1:18" ht="15.75" customHeight="1" x14ac:dyDescent="0.3">
      <c r="A163" s="11"/>
      <c r="B163" s="11"/>
      <c r="C163" s="11"/>
      <c r="D163" s="43"/>
      <c r="E163" s="43"/>
      <c r="F163" s="11"/>
      <c r="G163" s="11"/>
      <c r="H163" s="11"/>
      <c r="I163" s="11"/>
      <c r="J163" s="11"/>
      <c r="K163" s="11"/>
      <c r="L163" s="11"/>
      <c r="M163" s="11"/>
      <c r="N163" s="11"/>
      <c r="O163" s="11"/>
      <c r="P163" s="11"/>
      <c r="Q163" s="11"/>
      <c r="R163" s="11"/>
    </row>
    <row r="164" spans="1:18" ht="15.75" customHeight="1" x14ac:dyDescent="0.3">
      <c r="A164" s="11"/>
      <c r="B164" s="11"/>
      <c r="C164" s="11"/>
      <c r="D164" s="43"/>
      <c r="E164" s="43"/>
      <c r="F164" s="11"/>
      <c r="G164" s="11"/>
      <c r="H164" s="11"/>
      <c r="I164" s="11"/>
      <c r="J164" s="11"/>
      <c r="K164" s="11"/>
      <c r="L164" s="11"/>
      <c r="M164" s="11"/>
      <c r="N164" s="11"/>
      <c r="O164" s="11"/>
      <c r="P164" s="11"/>
      <c r="Q164" s="11"/>
      <c r="R164" s="11"/>
    </row>
    <row r="165" spans="1:18" ht="15.75" customHeight="1" x14ac:dyDescent="0.3">
      <c r="A165" s="11"/>
      <c r="B165" s="11"/>
      <c r="C165" s="11"/>
      <c r="D165" s="43"/>
      <c r="E165" s="43"/>
      <c r="F165" s="11"/>
      <c r="G165" s="11"/>
      <c r="H165" s="11"/>
      <c r="I165" s="11"/>
      <c r="J165" s="11"/>
      <c r="K165" s="11"/>
      <c r="L165" s="11"/>
      <c r="M165" s="11"/>
      <c r="N165" s="11"/>
      <c r="O165" s="11"/>
      <c r="P165" s="11"/>
      <c r="Q165" s="11"/>
      <c r="R165" s="11"/>
    </row>
    <row r="166" spans="1:18" ht="15.75" customHeight="1" x14ac:dyDescent="0.3">
      <c r="A166" s="11"/>
      <c r="B166" s="11"/>
      <c r="C166" s="11"/>
      <c r="D166" s="43"/>
      <c r="E166" s="43"/>
      <c r="F166" s="11"/>
      <c r="G166" s="11"/>
      <c r="H166" s="11"/>
      <c r="I166" s="11"/>
      <c r="J166" s="11"/>
      <c r="K166" s="11"/>
      <c r="L166" s="11"/>
      <c r="M166" s="11"/>
      <c r="N166" s="11"/>
      <c r="O166" s="11"/>
      <c r="P166" s="11"/>
      <c r="Q166" s="11"/>
      <c r="R166" s="11"/>
    </row>
    <row r="167" spans="1:18" ht="15.75" customHeight="1" x14ac:dyDescent="0.3">
      <c r="A167" s="11"/>
      <c r="B167" s="11"/>
      <c r="C167" s="11"/>
      <c r="D167" s="43"/>
      <c r="E167" s="43"/>
      <c r="F167" s="11"/>
      <c r="G167" s="11"/>
      <c r="H167" s="11"/>
      <c r="I167" s="11"/>
      <c r="J167" s="11"/>
      <c r="K167" s="11"/>
      <c r="L167" s="11"/>
      <c r="M167" s="11"/>
      <c r="N167" s="11"/>
      <c r="O167" s="11"/>
      <c r="P167" s="11"/>
      <c r="Q167" s="11"/>
      <c r="R167" s="11"/>
    </row>
    <row r="168" spans="1:18" ht="15.75" customHeight="1" x14ac:dyDescent="0.3">
      <c r="A168" s="11"/>
      <c r="B168" s="11"/>
      <c r="C168" s="11"/>
      <c r="D168" s="43"/>
      <c r="E168" s="43"/>
      <c r="F168" s="11"/>
      <c r="G168" s="11"/>
      <c r="H168" s="11"/>
      <c r="I168" s="11"/>
      <c r="J168" s="11"/>
      <c r="K168" s="11"/>
      <c r="L168" s="11"/>
      <c r="M168" s="11"/>
      <c r="N168" s="11"/>
      <c r="O168" s="11"/>
      <c r="P168" s="11"/>
      <c r="Q168" s="11"/>
      <c r="R168" s="11"/>
    </row>
    <row r="169" spans="1:18" ht="15.75" customHeight="1" x14ac:dyDescent="0.3">
      <c r="A169" s="11"/>
      <c r="B169" s="11"/>
      <c r="C169" s="11"/>
      <c r="D169" s="43"/>
      <c r="E169" s="43"/>
      <c r="F169" s="11"/>
      <c r="G169" s="11"/>
      <c r="H169" s="11"/>
      <c r="I169" s="11"/>
      <c r="J169" s="11"/>
      <c r="K169" s="11"/>
      <c r="L169" s="11"/>
      <c r="M169" s="11"/>
      <c r="N169" s="11"/>
      <c r="O169" s="11"/>
      <c r="P169" s="11"/>
      <c r="Q169" s="11"/>
      <c r="R169" s="11"/>
    </row>
    <row r="170" spans="1:18" ht="15.75" customHeight="1" x14ac:dyDescent="0.3">
      <c r="A170" s="11"/>
      <c r="B170" s="11"/>
      <c r="C170" s="11"/>
      <c r="D170" s="43"/>
      <c r="E170" s="43"/>
      <c r="F170" s="11"/>
      <c r="G170" s="11"/>
      <c r="H170" s="11"/>
      <c r="I170" s="11"/>
      <c r="J170" s="11"/>
      <c r="K170" s="11"/>
      <c r="L170" s="11"/>
      <c r="M170" s="11"/>
      <c r="N170" s="11"/>
      <c r="O170" s="11"/>
      <c r="P170" s="11"/>
      <c r="Q170" s="11"/>
      <c r="R170" s="11"/>
    </row>
    <row r="171" spans="1:18" ht="15.75" customHeight="1" x14ac:dyDescent="0.3">
      <c r="A171" s="11"/>
      <c r="B171" s="11"/>
      <c r="C171" s="11"/>
      <c r="D171" s="43"/>
      <c r="E171" s="43"/>
      <c r="F171" s="11"/>
      <c r="G171" s="11"/>
      <c r="H171" s="11"/>
      <c r="I171" s="11"/>
      <c r="J171" s="11"/>
      <c r="K171" s="11"/>
      <c r="L171" s="11"/>
      <c r="M171" s="11"/>
      <c r="N171" s="11"/>
      <c r="O171" s="11"/>
      <c r="P171" s="11"/>
      <c r="Q171" s="11"/>
      <c r="R171" s="11"/>
    </row>
    <row r="172" spans="1:18" ht="15.75" customHeight="1" x14ac:dyDescent="0.3">
      <c r="A172" s="11"/>
      <c r="B172" s="11"/>
      <c r="C172" s="11"/>
      <c r="D172" s="43"/>
      <c r="E172" s="43"/>
      <c r="F172" s="11"/>
      <c r="G172" s="11"/>
      <c r="H172" s="11"/>
      <c r="I172" s="11"/>
      <c r="J172" s="11"/>
      <c r="K172" s="11"/>
      <c r="L172" s="11"/>
      <c r="M172" s="11"/>
      <c r="N172" s="11"/>
      <c r="O172" s="11"/>
      <c r="P172" s="11"/>
      <c r="Q172" s="11"/>
      <c r="R172" s="11"/>
    </row>
    <row r="173" spans="1:18" ht="15.75" customHeight="1" x14ac:dyDescent="0.3">
      <c r="A173" s="11"/>
      <c r="B173" s="11"/>
      <c r="C173" s="11"/>
      <c r="D173" s="43"/>
      <c r="E173" s="43"/>
      <c r="F173" s="11"/>
      <c r="G173" s="11"/>
      <c r="H173" s="11"/>
      <c r="I173" s="11"/>
      <c r="J173" s="11"/>
      <c r="K173" s="11"/>
      <c r="L173" s="11"/>
      <c r="M173" s="11"/>
      <c r="N173" s="11"/>
      <c r="O173" s="11"/>
      <c r="P173" s="11"/>
      <c r="Q173" s="11"/>
      <c r="R173" s="11"/>
    </row>
    <row r="174" spans="1:18" ht="15.75" customHeight="1" x14ac:dyDescent="0.3">
      <c r="A174" s="11"/>
      <c r="B174" s="11"/>
      <c r="C174" s="11"/>
      <c r="D174" s="43"/>
      <c r="E174" s="43"/>
      <c r="F174" s="11"/>
      <c r="G174" s="11"/>
      <c r="H174" s="11"/>
      <c r="I174" s="11"/>
      <c r="J174" s="11"/>
      <c r="K174" s="11"/>
      <c r="L174" s="11"/>
      <c r="M174" s="11"/>
      <c r="N174" s="11"/>
      <c r="O174" s="11"/>
      <c r="P174" s="11"/>
      <c r="Q174" s="11"/>
      <c r="R174" s="11"/>
    </row>
    <row r="175" spans="1:18" ht="15.75" customHeight="1" x14ac:dyDescent="0.3">
      <c r="A175" s="11"/>
      <c r="B175" s="11"/>
      <c r="C175" s="11"/>
      <c r="D175" s="43"/>
      <c r="E175" s="43"/>
      <c r="F175" s="11"/>
      <c r="G175" s="11"/>
      <c r="H175" s="11"/>
      <c r="I175" s="11"/>
      <c r="J175" s="11"/>
      <c r="K175" s="11"/>
      <c r="L175" s="11"/>
      <c r="M175" s="11"/>
      <c r="N175" s="11"/>
      <c r="O175" s="11"/>
      <c r="P175" s="11"/>
      <c r="Q175" s="11"/>
      <c r="R175" s="11"/>
    </row>
    <row r="176" spans="1:18" ht="15.75" customHeight="1" x14ac:dyDescent="0.3">
      <c r="A176" s="11"/>
      <c r="B176" s="11"/>
      <c r="C176" s="11"/>
      <c r="D176" s="43"/>
      <c r="E176" s="43"/>
      <c r="F176" s="11"/>
      <c r="G176" s="11"/>
      <c r="H176" s="11"/>
      <c r="I176" s="11"/>
      <c r="J176" s="11"/>
      <c r="K176" s="11"/>
      <c r="L176" s="11"/>
      <c r="M176" s="11"/>
      <c r="N176" s="11"/>
      <c r="O176" s="11"/>
      <c r="P176" s="11"/>
      <c r="Q176" s="11"/>
      <c r="R176" s="11"/>
    </row>
    <row r="177" spans="1:18" ht="15.75" customHeight="1" x14ac:dyDescent="0.3">
      <c r="A177" s="11"/>
      <c r="B177" s="11"/>
      <c r="C177" s="11"/>
      <c r="D177" s="43"/>
      <c r="E177" s="43"/>
      <c r="F177" s="11"/>
      <c r="G177" s="11"/>
      <c r="H177" s="11"/>
      <c r="I177" s="11"/>
      <c r="J177" s="11"/>
      <c r="K177" s="11"/>
      <c r="L177" s="11"/>
      <c r="M177" s="11"/>
      <c r="N177" s="11"/>
      <c r="O177" s="11"/>
      <c r="P177" s="11"/>
      <c r="Q177" s="11"/>
      <c r="R177" s="11"/>
    </row>
    <row r="178" spans="1:18" ht="15.75" customHeight="1" x14ac:dyDescent="0.3">
      <c r="A178" s="11"/>
      <c r="B178" s="11"/>
      <c r="C178" s="11"/>
      <c r="D178" s="43"/>
      <c r="E178" s="43"/>
      <c r="F178" s="11"/>
      <c r="G178" s="11"/>
      <c r="H178" s="11"/>
      <c r="I178" s="11"/>
      <c r="J178" s="11"/>
      <c r="K178" s="11"/>
      <c r="L178" s="11"/>
      <c r="M178" s="11"/>
      <c r="N178" s="11"/>
      <c r="O178" s="11"/>
      <c r="P178" s="11"/>
      <c r="Q178" s="11"/>
      <c r="R178" s="11"/>
    </row>
    <row r="179" spans="1:18" ht="15.75" customHeight="1" x14ac:dyDescent="0.3">
      <c r="A179" s="11"/>
      <c r="B179" s="11"/>
      <c r="C179" s="11"/>
      <c r="D179" s="43"/>
      <c r="E179" s="43"/>
      <c r="F179" s="11"/>
      <c r="G179" s="11"/>
      <c r="H179" s="11"/>
      <c r="I179" s="11"/>
      <c r="J179" s="11"/>
      <c r="K179" s="11"/>
      <c r="L179" s="11"/>
      <c r="M179" s="11"/>
      <c r="N179" s="11"/>
      <c r="O179" s="11"/>
      <c r="P179" s="11"/>
      <c r="Q179" s="11"/>
      <c r="R179" s="11"/>
    </row>
    <row r="180" spans="1:18" ht="15.75" customHeight="1" x14ac:dyDescent="0.3">
      <c r="A180" s="11"/>
      <c r="B180" s="11"/>
      <c r="C180" s="11"/>
      <c r="D180" s="43"/>
      <c r="E180" s="43"/>
      <c r="F180" s="11"/>
      <c r="G180" s="11"/>
      <c r="H180" s="11"/>
      <c r="I180" s="11"/>
      <c r="J180" s="11"/>
      <c r="K180" s="11"/>
      <c r="L180" s="11"/>
      <c r="M180" s="11"/>
      <c r="N180" s="11"/>
      <c r="O180" s="11"/>
      <c r="P180" s="11"/>
      <c r="Q180" s="11"/>
      <c r="R180" s="11"/>
    </row>
    <row r="181" spans="1:18" ht="15.75" customHeight="1" x14ac:dyDescent="0.3">
      <c r="A181" s="11"/>
      <c r="B181" s="11"/>
      <c r="C181" s="11"/>
      <c r="D181" s="43"/>
      <c r="E181" s="43"/>
      <c r="F181" s="11"/>
      <c r="G181" s="11"/>
      <c r="H181" s="11"/>
      <c r="I181" s="11"/>
      <c r="J181" s="11"/>
      <c r="K181" s="11"/>
      <c r="L181" s="11"/>
      <c r="M181" s="11"/>
      <c r="N181" s="11"/>
      <c r="O181" s="11"/>
      <c r="P181" s="11"/>
      <c r="Q181" s="11"/>
      <c r="R181" s="11"/>
    </row>
    <row r="182" spans="1:18" ht="15.75" customHeight="1" x14ac:dyDescent="0.3">
      <c r="A182" s="11"/>
      <c r="B182" s="11"/>
      <c r="C182" s="11"/>
      <c r="D182" s="43"/>
      <c r="E182" s="43"/>
      <c r="F182" s="11"/>
      <c r="G182" s="11"/>
      <c r="H182" s="11"/>
      <c r="I182" s="11"/>
      <c r="J182" s="11"/>
      <c r="K182" s="11"/>
      <c r="L182" s="11"/>
      <c r="M182" s="11"/>
      <c r="N182" s="11"/>
      <c r="O182" s="11"/>
      <c r="P182" s="11"/>
      <c r="Q182" s="11"/>
      <c r="R182" s="11"/>
    </row>
    <row r="183" spans="1:18" ht="15.75" customHeight="1" x14ac:dyDescent="0.3">
      <c r="A183" s="11"/>
      <c r="B183" s="11"/>
      <c r="C183" s="11"/>
      <c r="D183" s="43"/>
      <c r="E183" s="43"/>
      <c r="F183" s="11"/>
      <c r="G183" s="11"/>
      <c r="H183" s="11"/>
      <c r="I183" s="11"/>
      <c r="J183" s="11"/>
      <c r="K183" s="11"/>
      <c r="L183" s="11"/>
      <c r="M183" s="11"/>
      <c r="N183" s="11"/>
      <c r="O183" s="11"/>
      <c r="P183" s="11"/>
      <c r="Q183" s="11"/>
      <c r="R183" s="11"/>
    </row>
    <row r="184" spans="1:18" ht="15.75" customHeight="1" x14ac:dyDescent="0.3">
      <c r="A184" s="11"/>
      <c r="B184" s="11"/>
      <c r="C184" s="11"/>
      <c r="D184" s="43"/>
      <c r="E184" s="43"/>
      <c r="F184" s="11"/>
      <c r="G184" s="11"/>
      <c r="H184" s="11"/>
      <c r="I184" s="11"/>
      <c r="J184" s="11"/>
      <c r="K184" s="11"/>
      <c r="L184" s="11"/>
      <c r="M184" s="11"/>
      <c r="N184" s="11"/>
      <c r="O184" s="11"/>
      <c r="P184" s="11"/>
      <c r="Q184" s="11"/>
      <c r="R184" s="11"/>
    </row>
    <row r="185" spans="1:18" ht="15.75" customHeight="1" x14ac:dyDescent="0.3">
      <c r="A185" s="11"/>
      <c r="B185" s="11"/>
      <c r="C185" s="11"/>
      <c r="D185" s="43"/>
      <c r="E185" s="43"/>
      <c r="F185" s="11"/>
      <c r="G185" s="11"/>
      <c r="H185" s="11"/>
      <c r="I185" s="11"/>
      <c r="J185" s="11"/>
      <c r="K185" s="11"/>
      <c r="L185" s="11"/>
      <c r="M185" s="11"/>
      <c r="N185" s="11"/>
      <c r="O185" s="11"/>
      <c r="P185" s="11"/>
      <c r="Q185" s="11"/>
      <c r="R185" s="11"/>
    </row>
    <row r="186" spans="1:18" ht="15.75" customHeight="1" x14ac:dyDescent="0.3">
      <c r="A186" s="11"/>
      <c r="B186" s="11"/>
      <c r="C186" s="11"/>
      <c r="D186" s="43"/>
      <c r="E186" s="43"/>
      <c r="F186" s="11"/>
      <c r="G186" s="11"/>
      <c r="H186" s="11"/>
      <c r="I186" s="11"/>
      <c r="J186" s="11"/>
      <c r="K186" s="11"/>
      <c r="L186" s="11"/>
      <c r="M186" s="11"/>
      <c r="N186" s="11"/>
      <c r="O186" s="11"/>
      <c r="P186" s="11"/>
      <c r="Q186" s="11"/>
      <c r="R186" s="11"/>
    </row>
    <row r="187" spans="1:18" ht="15.75" customHeight="1" x14ac:dyDescent="0.3">
      <c r="A187" s="11"/>
      <c r="B187" s="11"/>
      <c r="C187" s="11"/>
      <c r="D187" s="43"/>
      <c r="E187" s="43"/>
      <c r="F187" s="11"/>
      <c r="G187" s="11"/>
      <c r="H187" s="11"/>
      <c r="I187" s="11"/>
      <c r="J187" s="11"/>
      <c r="K187" s="11"/>
      <c r="L187" s="11"/>
      <c r="M187" s="11"/>
      <c r="N187" s="11"/>
      <c r="O187" s="11"/>
      <c r="P187" s="11"/>
      <c r="Q187" s="11"/>
      <c r="R187" s="11"/>
    </row>
    <row r="188" spans="1:18" ht="15.75" customHeight="1" x14ac:dyDescent="0.3">
      <c r="A188" s="11"/>
      <c r="B188" s="11"/>
      <c r="C188" s="11"/>
      <c r="D188" s="43"/>
      <c r="E188" s="43"/>
      <c r="F188" s="11"/>
      <c r="G188" s="11"/>
      <c r="H188" s="11"/>
      <c r="I188" s="11"/>
      <c r="J188" s="11"/>
      <c r="K188" s="11"/>
      <c r="L188" s="11"/>
      <c r="M188" s="11"/>
      <c r="N188" s="11"/>
      <c r="O188" s="11"/>
      <c r="P188" s="11"/>
      <c r="Q188" s="11"/>
      <c r="R188" s="11"/>
    </row>
    <row r="189" spans="1:18" ht="15.75" customHeight="1" x14ac:dyDescent="0.3">
      <c r="A189" s="11"/>
      <c r="B189" s="11"/>
      <c r="C189" s="11"/>
      <c r="D189" s="43"/>
      <c r="E189" s="43"/>
      <c r="F189" s="11"/>
      <c r="G189" s="11"/>
      <c r="H189" s="11"/>
      <c r="I189" s="11"/>
      <c r="J189" s="11"/>
      <c r="K189" s="11"/>
      <c r="L189" s="11"/>
      <c r="M189" s="11"/>
      <c r="N189" s="11"/>
      <c r="O189" s="11"/>
      <c r="P189" s="11"/>
      <c r="Q189" s="11"/>
      <c r="R189" s="11"/>
    </row>
    <row r="190" spans="1:18" ht="15.75" customHeight="1" x14ac:dyDescent="0.3">
      <c r="A190" s="11"/>
      <c r="B190" s="11"/>
      <c r="C190" s="11"/>
      <c r="D190" s="43"/>
      <c r="E190" s="43"/>
      <c r="F190" s="11"/>
      <c r="G190" s="11"/>
      <c r="H190" s="11"/>
      <c r="I190" s="11"/>
      <c r="J190" s="11"/>
      <c r="K190" s="11"/>
      <c r="L190" s="11"/>
      <c r="M190" s="11"/>
      <c r="N190" s="11"/>
      <c r="O190" s="11"/>
      <c r="P190" s="11"/>
      <c r="Q190" s="11"/>
      <c r="R190" s="11"/>
    </row>
    <row r="191" spans="1:18" ht="15.75" customHeight="1" x14ac:dyDescent="0.3">
      <c r="A191" s="11"/>
      <c r="B191" s="11"/>
      <c r="C191" s="11"/>
      <c r="D191" s="43"/>
      <c r="E191" s="43"/>
      <c r="F191" s="11"/>
      <c r="G191" s="11"/>
      <c r="H191" s="11"/>
      <c r="I191" s="11"/>
      <c r="J191" s="11"/>
      <c r="K191" s="11"/>
      <c r="L191" s="11"/>
      <c r="M191" s="11"/>
      <c r="N191" s="11"/>
      <c r="O191" s="11"/>
      <c r="P191" s="11"/>
      <c r="Q191" s="11"/>
      <c r="R191" s="11"/>
    </row>
    <row r="192" spans="1:18" ht="15.75" customHeight="1" x14ac:dyDescent="0.3">
      <c r="A192" s="11"/>
      <c r="B192" s="11"/>
      <c r="C192" s="11"/>
      <c r="D192" s="43"/>
      <c r="E192" s="43"/>
      <c r="F192" s="11"/>
      <c r="G192" s="11"/>
      <c r="H192" s="11"/>
      <c r="I192" s="11"/>
      <c r="J192" s="11"/>
      <c r="K192" s="11"/>
      <c r="L192" s="11"/>
      <c r="M192" s="11"/>
      <c r="N192" s="11"/>
      <c r="O192" s="11"/>
      <c r="P192" s="11"/>
      <c r="Q192" s="11"/>
      <c r="R192" s="11"/>
    </row>
    <row r="193" spans="1:18" ht="15.75" customHeight="1" x14ac:dyDescent="0.3">
      <c r="A193" s="11"/>
      <c r="B193" s="11"/>
      <c r="C193" s="11"/>
      <c r="D193" s="43"/>
      <c r="E193" s="43"/>
      <c r="F193" s="11"/>
      <c r="G193" s="11"/>
      <c r="H193" s="11"/>
      <c r="I193" s="11"/>
      <c r="J193" s="11"/>
      <c r="K193" s="11"/>
      <c r="L193" s="11"/>
      <c r="M193" s="11"/>
      <c r="N193" s="11"/>
      <c r="O193" s="11"/>
      <c r="P193" s="11"/>
      <c r="Q193" s="11"/>
      <c r="R193" s="11"/>
    </row>
    <row r="194" spans="1:18" ht="15.75" customHeight="1" x14ac:dyDescent="0.3">
      <c r="A194" s="11"/>
      <c r="B194" s="11"/>
      <c r="C194" s="11"/>
      <c r="D194" s="43"/>
      <c r="E194" s="43"/>
      <c r="F194" s="11"/>
      <c r="G194" s="11"/>
      <c r="H194" s="11"/>
      <c r="I194" s="11"/>
      <c r="J194" s="11"/>
      <c r="K194" s="11"/>
      <c r="L194" s="11"/>
      <c r="M194" s="11"/>
      <c r="N194" s="11"/>
      <c r="O194" s="11"/>
      <c r="P194" s="11"/>
      <c r="Q194" s="11"/>
      <c r="R194" s="11"/>
    </row>
    <row r="195" spans="1:18" ht="15.75" customHeight="1" x14ac:dyDescent="0.3">
      <c r="A195" s="11"/>
      <c r="B195" s="11"/>
      <c r="C195" s="11"/>
      <c r="D195" s="43"/>
      <c r="E195" s="43"/>
      <c r="F195" s="11"/>
      <c r="G195" s="11"/>
      <c r="H195" s="11"/>
      <c r="I195" s="11"/>
      <c r="J195" s="11"/>
      <c r="K195" s="11"/>
      <c r="L195" s="11"/>
      <c r="M195" s="11"/>
      <c r="N195" s="11"/>
      <c r="O195" s="11"/>
      <c r="P195" s="11"/>
      <c r="Q195" s="11"/>
      <c r="R195" s="11"/>
    </row>
    <row r="196" spans="1:18" ht="15.75" customHeight="1" x14ac:dyDescent="0.3">
      <c r="A196" s="11"/>
      <c r="B196" s="11"/>
      <c r="C196" s="11"/>
      <c r="D196" s="43"/>
      <c r="E196" s="43"/>
      <c r="F196" s="11"/>
      <c r="G196" s="11"/>
      <c r="H196" s="11"/>
      <c r="I196" s="11"/>
      <c r="J196" s="11"/>
      <c r="K196" s="11"/>
      <c r="L196" s="11"/>
      <c r="M196" s="11"/>
      <c r="N196" s="11"/>
      <c r="O196" s="11"/>
      <c r="P196" s="11"/>
      <c r="Q196" s="11"/>
      <c r="R196" s="11"/>
    </row>
    <row r="197" spans="1:18" ht="15.75" customHeight="1" x14ac:dyDescent="0.3">
      <c r="A197" s="11"/>
      <c r="B197" s="11"/>
      <c r="C197" s="11"/>
      <c r="D197" s="43"/>
      <c r="E197" s="43"/>
      <c r="F197" s="11"/>
      <c r="G197" s="11"/>
      <c r="H197" s="11"/>
      <c r="I197" s="11"/>
      <c r="J197" s="11"/>
      <c r="K197" s="11"/>
      <c r="L197" s="11"/>
      <c r="M197" s="11"/>
      <c r="N197" s="11"/>
      <c r="O197" s="11"/>
      <c r="P197" s="11"/>
      <c r="Q197" s="11"/>
      <c r="R197" s="11"/>
    </row>
    <row r="198" spans="1:18" ht="15.75" customHeight="1" x14ac:dyDescent="0.3">
      <c r="A198" s="11"/>
      <c r="B198" s="11"/>
      <c r="C198" s="11"/>
      <c r="D198" s="43"/>
      <c r="E198" s="43"/>
      <c r="F198" s="11"/>
      <c r="G198" s="11"/>
      <c r="H198" s="11"/>
      <c r="I198" s="11"/>
      <c r="J198" s="11"/>
      <c r="K198" s="11"/>
      <c r="L198" s="11"/>
      <c r="M198" s="11"/>
      <c r="N198" s="11"/>
      <c r="O198" s="11"/>
      <c r="P198" s="11"/>
      <c r="Q198" s="11"/>
      <c r="R198" s="11"/>
    </row>
    <row r="199" spans="1:18" ht="15.75" customHeight="1" x14ac:dyDescent="0.3">
      <c r="A199" s="11"/>
      <c r="B199" s="11"/>
      <c r="C199" s="11"/>
      <c r="D199" s="43"/>
      <c r="E199" s="43"/>
      <c r="F199" s="11"/>
      <c r="G199" s="11"/>
      <c r="H199" s="11"/>
      <c r="I199" s="11"/>
      <c r="J199" s="11"/>
      <c r="K199" s="11"/>
      <c r="L199" s="11"/>
      <c r="M199" s="11"/>
      <c r="N199" s="11"/>
      <c r="O199" s="11"/>
      <c r="P199" s="11"/>
      <c r="Q199" s="11"/>
      <c r="R199" s="11"/>
    </row>
    <row r="200" spans="1:18" ht="15.75" customHeight="1" x14ac:dyDescent="0.3">
      <c r="A200" s="11"/>
      <c r="B200" s="11"/>
      <c r="C200" s="11"/>
      <c r="D200" s="43"/>
      <c r="E200" s="43"/>
      <c r="F200" s="11"/>
      <c r="G200" s="11"/>
      <c r="H200" s="11"/>
      <c r="I200" s="11"/>
      <c r="J200" s="11"/>
      <c r="K200" s="11"/>
      <c r="L200" s="11"/>
      <c r="M200" s="11"/>
      <c r="N200" s="11"/>
      <c r="O200" s="11"/>
      <c r="P200" s="11"/>
      <c r="Q200" s="11"/>
      <c r="R200" s="11"/>
    </row>
    <row r="201" spans="1:18" ht="15.75" customHeight="1" x14ac:dyDescent="0.3">
      <c r="A201" s="11"/>
      <c r="B201" s="11"/>
      <c r="C201" s="11"/>
      <c r="D201" s="43"/>
      <c r="E201" s="43"/>
      <c r="F201" s="11"/>
      <c r="G201" s="11"/>
      <c r="H201" s="11"/>
      <c r="I201" s="11"/>
      <c r="J201" s="11"/>
      <c r="K201" s="11"/>
      <c r="L201" s="11"/>
      <c r="M201" s="11"/>
      <c r="N201" s="11"/>
      <c r="O201" s="11"/>
      <c r="P201" s="11"/>
      <c r="Q201" s="11"/>
      <c r="R201" s="11"/>
    </row>
    <row r="202" spans="1:18" ht="15.75" customHeight="1" x14ac:dyDescent="0.3">
      <c r="A202" s="11"/>
      <c r="B202" s="11"/>
      <c r="C202" s="11"/>
      <c r="D202" s="43"/>
      <c r="E202" s="43"/>
      <c r="F202" s="11"/>
      <c r="G202" s="11"/>
      <c r="H202" s="11"/>
      <c r="I202" s="11"/>
      <c r="J202" s="11"/>
      <c r="K202" s="11"/>
      <c r="L202" s="11"/>
      <c r="M202" s="11"/>
      <c r="N202" s="11"/>
      <c r="O202" s="11"/>
      <c r="P202" s="11"/>
      <c r="Q202" s="11"/>
      <c r="R202" s="11"/>
    </row>
    <row r="203" spans="1:18" ht="15.75" customHeight="1" x14ac:dyDescent="0.3">
      <c r="A203" s="11"/>
      <c r="B203" s="11"/>
      <c r="C203" s="11"/>
      <c r="D203" s="43"/>
      <c r="E203" s="43"/>
      <c r="F203" s="11"/>
      <c r="G203" s="11"/>
      <c r="H203" s="11"/>
      <c r="I203" s="11"/>
      <c r="J203" s="11"/>
      <c r="K203" s="11"/>
      <c r="L203" s="11"/>
      <c r="M203" s="11"/>
      <c r="N203" s="11"/>
      <c r="O203" s="11"/>
      <c r="P203" s="11"/>
      <c r="Q203" s="11"/>
      <c r="R203" s="11"/>
    </row>
    <row r="204" spans="1:18" ht="15.75" customHeight="1" x14ac:dyDescent="0.3">
      <c r="A204" s="11"/>
      <c r="B204" s="11"/>
      <c r="C204" s="11"/>
      <c r="D204" s="43"/>
      <c r="E204" s="43"/>
      <c r="F204" s="11"/>
      <c r="G204" s="11"/>
      <c r="H204" s="11"/>
      <c r="I204" s="11"/>
      <c r="J204" s="11"/>
      <c r="K204" s="11"/>
      <c r="L204" s="11"/>
      <c r="M204" s="11"/>
      <c r="N204" s="11"/>
      <c r="O204" s="11"/>
      <c r="P204" s="11"/>
      <c r="Q204" s="11"/>
      <c r="R204" s="11"/>
    </row>
    <row r="205" spans="1:18" ht="15.75" customHeight="1" x14ac:dyDescent="0.3">
      <c r="A205" s="11"/>
      <c r="B205" s="11"/>
      <c r="C205" s="11"/>
      <c r="D205" s="43"/>
      <c r="E205" s="43"/>
      <c r="F205" s="11"/>
      <c r="G205" s="11"/>
      <c r="H205" s="11"/>
      <c r="I205" s="11"/>
      <c r="J205" s="11"/>
      <c r="K205" s="11"/>
      <c r="L205" s="11"/>
      <c r="M205" s="11"/>
      <c r="N205" s="11"/>
      <c r="O205" s="11"/>
      <c r="P205" s="11"/>
      <c r="Q205" s="11"/>
      <c r="R205" s="11"/>
    </row>
    <row r="206" spans="1:18" ht="15.75" customHeight="1" x14ac:dyDescent="0.3">
      <c r="A206" s="11"/>
      <c r="B206" s="11"/>
      <c r="C206" s="11"/>
      <c r="D206" s="43"/>
      <c r="E206" s="43"/>
      <c r="F206" s="11"/>
      <c r="G206" s="11"/>
      <c r="H206" s="11"/>
      <c r="I206" s="11"/>
      <c r="J206" s="11"/>
      <c r="K206" s="11"/>
      <c r="L206" s="11"/>
      <c r="M206" s="11"/>
      <c r="N206" s="11"/>
      <c r="O206" s="11"/>
      <c r="P206" s="11"/>
      <c r="Q206" s="11"/>
      <c r="R206" s="11"/>
    </row>
    <row r="207" spans="1:18" ht="15.75" customHeight="1" x14ac:dyDescent="0.3">
      <c r="A207" s="11"/>
      <c r="B207" s="11"/>
      <c r="C207" s="11"/>
      <c r="D207" s="43"/>
      <c r="E207" s="43"/>
      <c r="F207" s="11"/>
      <c r="G207" s="11"/>
      <c r="H207" s="11"/>
      <c r="I207" s="11"/>
      <c r="J207" s="11"/>
      <c r="K207" s="11"/>
      <c r="L207" s="11"/>
      <c r="M207" s="11"/>
      <c r="N207" s="11"/>
      <c r="O207" s="11"/>
      <c r="P207" s="11"/>
      <c r="Q207" s="11"/>
      <c r="R207" s="11"/>
    </row>
    <row r="208" spans="1:18" ht="15.75" customHeight="1" x14ac:dyDescent="0.3">
      <c r="A208" s="11"/>
      <c r="B208" s="11"/>
      <c r="C208" s="11"/>
      <c r="D208" s="43"/>
      <c r="E208" s="43"/>
      <c r="F208" s="11"/>
      <c r="G208" s="11"/>
      <c r="H208" s="11"/>
      <c r="I208" s="11"/>
      <c r="J208" s="11"/>
      <c r="K208" s="11"/>
      <c r="L208" s="11"/>
      <c r="M208" s="11"/>
      <c r="N208" s="11"/>
      <c r="O208" s="11"/>
      <c r="P208" s="11"/>
      <c r="Q208" s="11"/>
      <c r="R208" s="11"/>
    </row>
    <row r="209" spans="1:18" ht="15.75" customHeight="1" x14ac:dyDescent="0.3">
      <c r="A209" s="11"/>
      <c r="B209" s="11"/>
      <c r="C209" s="11"/>
      <c r="D209" s="43"/>
      <c r="E209" s="43"/>
      <c r="F209" s="11"/>
      <c r="G209" s="11"/>
      <c r="H209" s="11"/>
      <c r="I209" s="11"/>
      <c r="J209" s="11"/>
      <c r="K209" s="11"/>
      <c r="L209" s="11"/>
      <c r="M209" s="11"/>
      <c r="N209" s="11"/>
      <c r="O209" s="11"/>
      <c r="P209" s="11"/>
      <c r="Q209" s="11"/>
      <c r="R209" s="11"/>
    </row>
    <row r="210" spans="1:18" ht="15.75" customHeight="1" x14ac:dyDescent="0.3">
      <c r="A210" s="11"/>
      <c r="B210" s="11"/>
      <c r="C210" s="11"/>
      <c r="D210" s="43"/>
      <c r="E210" s="43"/>
      <c r="F210" s="11"/>
      <c r="G210" s="11"/>
      <c r="H210" s="11"/>
      <c r="I210" s="11"/>
      <c r="J210" s="11"/>
      <c r="K210" s="11"/>
      <c r="L210" s="11"/>
      <c r="M210" s="11"/>
      <c r="N210" s="11"/>
      <c r="O210" s="11"/>
      <c r="P210" s="11"/>
      <c r="Q210" s="11"/>
      <c r="R210" s="11"/>
    </row>
    <row r="211" spans="1:18" ht="15.75" customHeight="1" x14ac:dyDescent="0.3">
      <c r="A211" s="11"/>
      <c r="B211" s="11"/>
      <c r="C211" s="11"/>
      <c r="D211" s="43"/>
      <c r="E211" s="43"/>
      <c r="F211" s="11"/>
      <c r="G211" s="11"/>
      <c r="H211" s="11"/>
      <c r="I211" s="11"/>
      <c r="J211" s="11"/>
      <c r="K211" s="11"/>
      <c r="L211" s="11"/>
      <c r="M211" s="11"/>
      <c r="N211" s="11"/>
      <c r="O211" s="11"/>
      <c r="P211" s="11"/>
      <c r="Q211" s="11"/>
      <c r="R211" s="11"/>
    </row>
    <row r="212" spans="1:18" ht="15.75" customHeight="1" x14ac:dyDescent="0.3">
      <c r="A212" s="11"/>
      <c r="B212" s="11"/>
      <c r="C212" s="11"/>
      <c r="D212" s="43"/>
      <c r="E212" s="43"/>
      <c r="F212" s="11"/>
      <c r="G212" s="11"/>
      <c r="H212" s="11"/>
      <c r="I212" s="11"/>
      <c r="J212" s="11"/>
      <c r="K212" s="11"/>
      <c r="L212" s="11"/>
      <c r="M212" s="11"/>
      <c r="N212" s="11"/>
      <c r="O212" s="11"/>
      <c r="P212" s="11"/>
      <c r="Q212" s="11"/>
      <c r="R212" s="11"/>
    </row>
    <row r="213" spans="1:18" ht="15.75" customHeight="1" x14ac:dyDescent="0.3">
      <c r="A213" s="11"/>
      <c r="B213" s="11"/>
      <c r="C213" s="11"/>
      <c r="D213" s="43"/>
      <c r="E213" s="43"/>
      <c r="F213" s="11"/>
      <c r="G213" s="11"/>
      <c r="H213" s="11"/>
      <c r="I213" s="11"/>
      <c r="J213" s="11"/>
      <c r="K213" s="11"/>
      <c r="L213" s="11"/>
      <c r="M213" s="11"/>
      <c r="N213" s="11"/>
      <c r="O213" s="11"/>
      <c r="P213" s="11"/>
      <c r="Q213" s="11"/>
      <c r="R213" s="11"/>
    </row>
    <row r="214" spans="1:18" ht="15.75" customHeight="1" x14ac:dyDescent="0.3">
      <c r="A214" s="11"/>
      <c r="B214" s="11"/>
      <c r="C214" s="11"/>
      <c r="D214" s="43"/>
      <c r="E214" s="43"/>
      <c r="F214" s="11"/>
      <c r="G214" s="11"/>
      <c r="H214" s="11"/>
      <c r="I214" s="11"/>
      <c r="J214" s="11"/>
      <c r="K214" s="11"/>
      <c r="L214" s="11"/>
      <c r="M214" s="11"/>
      <c r="N214" s="11"/>
      <c r="O214" s="11"/>
      <c r="P214" s="11"/>
      <c r="Q214" s="11"/>
      <c r="R214" s="11"/>
    </row>
    <row r="215" spans="1:18" ht="15.75" customHeight="1" x14ac:dyDescent="0.3">
      <c r="A215" s="11"/>
      <c r="B215" s="11"/>
      <c r="C215" s="11"/>
      <c r="D215" s="43"/>
      <c r="E215" s="43"/>
      <c r="F215" s="11"/>
      <c r="G215" s="11"/>
      <c r="H215" s="11"/>
      <c r="I215" s="11"/>
      <c r="J215" s="11"/>
      <c r="K215" s="11"/>
      <c r="L215" s="11"/>
      <c r="M215" s="11"/>
      <c r="N215" s="11"/>
      <c r="O215" s="11"/>
      <c r="P215" s="11"/>
      <c r="Q215" s="11"/>
      <c r="R215" s="11"/>
    </row>
    <row r="216" spans="1:18" ht="15.75" customHeight="1" x14ac:dyDescent="0.3">
      <c r="A216" s="11"/>
      <c r="B216" s="11"/>
      <c r="C216" s="11"/>
      <c r="D216" s="43"/>
      <c r="E216" s="43"/>
      <c r="F216" s="11"/>
      <c r="G216" s="11"/>
      <c r="H216" s="11"/>
      <c r="I216" s="11"/>
      <c r="J216" s="11"/>
      <c r="K216" s="11"/>
      <c r="L216" s="11"/>
      <c r="M216" s="11"/>
      <c r="N216" s="11"/>
      <c r="O216" s="11"/>
      <c r="P216" s="11"/>
      <c r="Q216" s="11"/>
      <c r="R216" s="11"/>
    </row>
    <row r="217" spans="1:18" ht="15.75" customHeight="1" x14ac:dyDescent="0.3">
      <c r="A217" s="11"/>
      <c r="B217" s="11"/>
      <c r="C217" s="11"/>
      <c r="D217" s="43"/>
      <c r="E217" s="43"/>
      <c r="F217" s="11"/>
      <c r="G217" s="11"/>
      <c r="H217" s="11"/>
      <c r="I217" s="11"/>
      <c r="J217" s="11"/>
      <c r="K217" s="11"/>
      <c r="L217" s="11"/>
      <c r="M217" s="11"/>
      <c r="N217" s="11"/>
      <c r="O217" s="11"/>
      <c r="P217" s="11"/>
      <c r="Q217" s="11"/>
      <c r="R217" s="11"/>
    </row>
    <row r="218" spans="1:18" ht="15.75" customHeight="1" x14ac:dyDescent="0.3">
      <c r="A218" s="11"/>
      <c r="B218" s="11"/>
      <c r="C218" s="11"/>
      <c r="D218" s="43"/>
      <c r="E218" s="43"/>
      <c r="F218" s="11"/>
      <c r="G218" s="11"/>
      <c r="H218" s="11"/>
      <c r="I218" s="11"/>
      <c r="J218" s="11"/>
      <c r="K218" s="11"/>
      <c r="L218" s="11"/>
      <c r="M218" s="11"/>
      <c r="N218" s="11"/>
      <c r="O218" s="11"/>
      <c r="P218" s="11"/>
      <c r="Q218" s="11"/>
      <c r="R218" s="11"/>
    </row>
    <row r="219" spans="1:18" ht="15.75" customHeight="1" x14ac:dyDescent="0.3">
      <c r="A219" s="11"/>
      <c r="B219" s="11"/>
      <c r="C219" s="11"/>
      <c r="D219" s="43"/>
      <c r="E219" s="43"/>
      <c r="F219" s="11"/>
      <c r="G219" s="11"/>
      <c r="H219" s="11"/>
      <c r="I219" s="11"/>
      <c r="J219" s="11"/>
      <c r="K219" s="11"/>
      <c r="L219" s="11"/>
      <c r="M219" s="11"/>
      <c r="N219" s="11"/>
      <c r="O219" s="11"/>
      <c r="P219" s="11"/>
      <c r="Q219" s="11"/>
      <c r="R219" s="11"/>
    </row>
    <row r="220" spans="1:18" ht="15.75" customHeight="1" x14ac:dyDescent="0.3">
      <c r="A220" s="11"/>
      <c r="B220" s="11"/>
      <c r="C220" s="11"/>
      <c r="D220" s="43"/>
      <c r="E220" s="43"/>
      <c r="F220" s="11"/>
      <c r="G220" s="11"/>
      <c r="H220" s="11"/>
      <c r="I220" s="11"/>
      <c r="J220" s="11"/>
      <c r="K220" s="11"/>
      <c r="L220" s="11"/>
      <c r="M220" s="11"/>
      <c r="N220" s="11"/>
      <c r="O220" s="11"/>
      <c r="P220" s="11"/>
      <c r="Q220" s="11"/>
      <c r="R220" s="11"/>
    </row>
    <row r="221" spans="1:18" ht="15.75" customHeight="1" x14ac:dyDescent="0.3">
      <c r="A221" s="11"/>
      <c r="B221" s="11"/>
      <c r="C221" s="11"/>
      <c r="D221" s="43"/>
      <c r="E221" s="43"/>
      <c r="F221" s="11"/>
      <c r="G221" s="11"/>
      <c r="H221" s="11"/>
      <c r="I221" s="11"/>
      <c r="J221" s="11"/>
      <c r="K221" s="11"/>
      <c r="L221" s="11"/>
      <c r="M221" s="11"/>
      <c r="N221" s="11"/>
      <c r="O221" s="11"/>
      <c r="P221" s="11"/>
      <c r="Q221" s="11"/>
      <c r="R221" s="11"/>
    </row>
    <row r="222" spans="1:18" ht="15.75" customHeight="1" x14ac:dyDescent="0.3">
      <c r="A222" s="11"/>
      <c r="B222" s="11"/>
      <c r="C222" s="11"/>
      <c r="D222" s="43"/>
      <c r="E222" s="43"/>
      <c r="F222" s="11"/>
      <c r="G222" s="11"/>
      <c r="H222" s="11"/>
      <c r="I222" s="11"/>
      <c r="J222" s="11"/>
      <c r="K222" s="11"/>
      <c r="L222" s="11"/>
      <c r="M222" s="11"/>
      <c r="N222" s="11"/>
      <c r="O222" s="11"/>
      <c r="P222" s="11"/>
      <c r="Q222" s="11"/>
      <c r="R222" s="11"/>
    </row>
    <row r="223" spans="1:18" ht="15.75" customHeight="1" x14ac:dyDescent="0.3">
      <c r="A223" s="11"/>
      <c r="B223" s="11"/>
      <c r="C223" s="11"/>
      <c r="D223" s="43"/>
      <c r="E223" s="43"/>
      <c r="F223" s="11"/>
      <c r="G223" s="11"/>
      <c r="H223" s="11"/>
      <c r="I223" s="11"/>
      <c r="J223" s="11"/>
      <c r="K223" s="11"/>
      <c r="L223" s="11"/>
      <c r="M223" s="11"/>
      <c r="N223" s="11"/>
      <c r="O223" s="11"/>
      <c r="P223" s="11"/>
      <c r="Q223" s="11"/>
      <c r="R223" s="11"/>
    </row>
    <row r="224" spans="1:18" ht="15.75" customHeight="1" x14ac:dyDescent="0.3">
      <c r="A224" s="11"/>
      <c r="B224" s="11"/>
      <c r="C224" s="11"/>
      <c r="D224" s="43"/>
      <c r="E224" s="43"/>
      <c r="F224" s="11"/>
      <c r="G224" s="11"/>
      <c r="H224" s="11"/>
      <c r="I224" s="11"/>
      <c r="J224" s="11"/>
      <c r="K224" s="11"/>
      <c r="L224" s="11"/>
      <c r="M224" s="11"/>
      <c r="N224" s="11"/>
      <c r="O224" s="11"/>
      <c r="P224" s="11"/>
      <c r="Q224" s="11"/>
      <c r="R224" s="11"/>
    </row>
    <row r="225" spans="1:18" ht="15.75" customHeight="1" x14ac:dyDescent="0.3">
      <c r="A225" s="11"/>
      <c r="B225" s="11"/>
      <c r="C225" s="11"/>
      <c r="D225" s="43"/>
      <c r="E225" s="43"/>
      <c r="F225" s="11"/>
      <c r="G225" s="11"/>
      <c r="H225" s="11"/>
      <c r="I225" s="11"/>
      <c r="J225" s="11"/>
      <c r="K225" s="11"/>
      <c r="L225" s="11"/>
      <c r="M225" s="11"/>
      <c r="N225" s="11"/>
      <c r="O225" s="11"/>
      <c r="P225" s="11"/>
      <c r="Q225" s="11"/>
      <c r="R225" s="11"/>
    </row>
    <row r="226" spans="1:18" ht="15.75" customHeight="1" x14ac:dyDescent="0.3">
      <c r="A226" s="11"/>
      <c r="B226" s="11"/>
      <c r="C226" s="11"/>
      <c r="D226" s="43"/>
      <c r="E226" s="43"/>
      <c r="F226" s="11"/>
      <c r="G226" s="11"/>
      <c r="H226" s="11"/>
      <c r="I226" s="11"/>
      <c r="J226" s="11"/>
      <c r="K226" s="11"/>
      <c r="L226" s="11"/>
      <c r="M226" s="11"/>
      <c r="N226" s="11"/>
      <c r="O226" s="11"/>
      <c r="P226" s="11"/>
      <c r="Q226" s="11"/>
      <c r="R226" s="11"/>
    </row>
    <row r="227" spans="1:18" ht="15.75" customHeight="1" x14ac:dyDescent="0.3">
      <c r="A227" s="11"/>
      <c r="B227" s="11"/>
      <c r="C227" s="11"/>
      <c r="D227" s="43"/>
      <c r="E227" s="43"/>
      <c r="F227" s="11"/>
      <c r="G227" s="11"/>
      <c r="H227" s="11"/>
      <c r="I227" s="11"/>
      <c r="J227" s="11"/>
      <c r="K227" s="11"/>
      <c r="L227" s="11"/>
      <c r="M227" s="11"/>
      <c r="N227" s="11"/>
      <c r="O227" s="11"/>
      <c r="P227" s="11"/>
      <c r="Q227" s="11"/>
      <c r="R227" s="11"/>
    </row>
    <row r="228" spans="1:18" ht="15.75" customHeight="1" x14ac:dyDescent="0.3">
      <c r="A228" s="11"/>
      <c r="B228" s="11"/>
      <c r="C228" s="11"/>
      <c r="D228" s="43"/>
      <c r="E228" s="43"/>
      <c r="F228" s="11"/>
      <c r="G228" s="11"/>
      <c r="H228" s="11"/>
      <c r="I228" s="11"/>
      <c r="J228" s="11"/>
      <c r="K228" s="11"/>
      <c r="L228" s="11"/>
      <c r="M228" s="11"/>
      <c r="N228" s="11"/>
      <c r="O228" s="11"/>
      <c r="P228" s="11"/>
      <c r="Q228" s="11"/>
      <c r="R228" s="11"/>
    </row>
    <row r="229" spans="1:18" ht="15.75" customHeight="1" x14ac:dyDescent="0.3">
      <c r="A229" s="11"/>
      <c r="B229" s="11"/>
      <c r="C229" s="11"/>
      <c r="D229" s="43"/>
      <c r="E229" s="43"/>
      <c r="F229" s="11"/>
      <c r="G229" s="11"/>
      <c r="H229" s="11"/>
      <c r="I229" s="11"/>
      <c r="J229" s="11"/>
      <c r="K229" s="11"/>
      <c r="L229" s="11"/>
      <c r="M229" s="11"/>
      <c r="N229" s="11"/>
      <c r="O229" s="11"/>
      <c r="P229" s="11"/>
      <c r="Q229" s="11"/>
      <c r="R229" s="11"/>
    </row>
    <row r="230" spans="1:18" ht="15.75" customHeight="1" x14ac:dyDescent="0.3">
      <c r="A230" s="11"/>
      <c r="B230" s="11"/>
      <c r="C230" s="11"/>
      <c r="D230" s="43"/>
      <c r="E230" s="43"/>
      <c r="F230" s="11"/>
      <c r="G230" s="11"/>
      <c r="H230" s="11"/>
      <c r="I230" s="11"/>
      <c r="J230" s="11"/>
      <c r="K230" s="11"/>
      <c r="L230" s="11"/>
      <c r="M230" s="11"/>
      <c r="N230" s="11"/>
      <c r="O230" s="11"/>
      <c r="P230" s="11"/>
      <c r="Q230" s="11"/>
      <c r="R230" s="11"/>
    </row>
    <row r="231" spans="1:18" ht="15.75" customHeight="1" x14ac:dyDescent="0.3">
      <c r="A231" s="11"/>
      <c r="B231" s="11"/>
      <c r="C231" s="11"/>
      <c r="D231" s="43"/>
      <c r="E231" s="43"/>
      <c r="F231" s="11"/>
      <c r="G231" s="11"/>
      <c r="H231" s="11"/>
      <c r="I231" s="11"/>
      <c r="J231" s="11"/>
      <c r="K231" s="11"/>
      <c r="L231" s="11"/>
      <c r="M231" s="11"/>
      <c r="N231" s="11"/>
      <c r="O231" s="11"/>
      <c r="P231" s="11"/>
      <c r="Q231" s="11"/>
      <c r="R231" s="11"/>
    </row>
    <row r="232" spans="1:18" ht="15.75" customHeight="1" x14ac:dyDescent="0.3">
      <c r="A232" s="11"/>
      <c r="B232" s="11"/>
      <c r="C232" s="11"/>
      <c r="D232" s="43"/>
      <c r="E232" s="43"/>
      <c r="F232" s="11"/>
      <c r="G232" s="11"/>
      <c r="H232" s="11"/>
      <c r="I232" s="11"/>
      <c r="J232" s="11"/>
      <c r="K232" s="11"/>
      <c r="L232" s="11"/>
      <c r="M232" s="11"/>
      <c r="N232" s="11"/>
      <c r="O232" s="11"/>
      <c r="P232" s="11"/>
      <c r="Q232" s="11"/>
      <c r="R232" s="11"/>
    </row>
    <row r="233" spans="1:18" ht="15.75" customHeight="1" x14ac:dyDescent="0.3">
      <c r="A233" s="11"/>
      <c r="B233" s="11"/>
      <c r="C233" s="11"/>
      <c r="D233" s="43"/>
      <c r="E233" s="43"/>
      <c r="F233" s="11"/>
      <c r="G233" s="11"/>
      <c r="H233" s="11"/>
      <c r="I233" s="11"/>
      <c r="J233" s="11"/>
      <c r="K233" s="11"/>
      <c r="L233" s="11"/>
      <c r="M233" s="11"/>
      <c r="N233" s="11"/>
      <c r="O233" s="11"/>
      <c r="P233" s="11"/>
      <c r="Q233" s="11"/>
      <c r="R233" s="11"/>
    </row>
    <row r="234" spans="1:18" ht="15.75" customHeight="1" x14ac:dyDescent="0.3">
      <c r="A234" s="11"/>
      <c r="B234" s="11"/>
      <c r="C234" s="11"/>
      <c r="D234" s="43"/>
      <c r="E234" s="43"/>
      <c r="F234" s="11"/>
      <c r="G234" s="11"/>
      <c r="H234" s="11"/>
      <c r="I234" s="11"/>
      <c r="J234" s="11"/>
      <c r="K234" s="11"/>
      <c r="L234" s="11"/>
      <c r="M234" s="11"/>
      <c r="N234" s="11"/>
      <c r="O234" s="11"/>
      <c r="P234" s="11"/>
      <c r="Q234" s="11"/>
      <c r="R234" s="11"/>
    </row>
    <row r="235" spans="1:18" ht="15.75" customHeight="1" x14ac:dyDescent="0.3">
      <c r="A235" s="11"/>
      <c r="B235" s="11"/>
      <c r="C235" s="11"/>
      <c r="D235" s="43"/>
      <c r="E235" s="43"/>
      <c r="F235" s="11"/>
      <c r="G235" s="11"/>
      <c r="H235" s="11"/>
      <c r="I235" s="11"/>
      <c r="J235" s="11"/>
      <c r="K235" s="11"/>
      <c r="L235" s="11"/>
      <c r="M235" s="11"/>
      <c r="N235" s="11"/>
      <c r="O235" s="11"/>
      <c r="P235" s="11"/>
      <c r="Q235" s="11"/>
      <c r="R235" s="11"/>
    </row>
    <row r="236" spans="1:18" ht="15.75" customHeight="1" x14ac:dyDescent="0.3">
      <c r="A236" s="11"/>
      <c r="B236" s="11"/>
      <c r="C236" s="11"/>
      <c r="D236" s="43"/>
      <c r="E236" s="43"/>
      <c r="F236" s="11"/>
      <c r="G236" s="11"/>
      <c r="H236" s="11"/>
      <c r="I236" s="11"/>
      <c r="J236" s="11"/>
      <c r="K236" s="11"/>
      <c r="L236" s="11"/>
      <c r="M236" s="11"/>
      <c r="N236" s="11"/>
      <c r="O236" s="11"/>
      <c r="P236" s="11"/>
      <c r="Q236" s="11"/>
      <c r="R236" s="11"/>
    </row>
    <row r="237" spans="1:18" ht="15.75" customHeight="1" x14ac:dyDescent="0.3">
      <c r="A237" s="11"/>
      <c r="B237" s="11"/>
      <c r="C237" s="11"/>
      <c r="D237" s="43"/>
      <c r="E237" s="43"/>
      <c r="F237" s="11"/>
      <c r="G237" s="11"/>
      <c r="H237" s="11"/>
      <c r="I237" s="11"/>
      <c r="J237" s="11"/>
      <c r="K237" s="11"/>
      <c r="L237" s="11"/>
      <c r="M237" s="11"/>
      <c r="N237" s="11"/>
      <c r="O237" s="11"/>
      <c r="P237" s="11"/>
      <c r="Q237" s="11"/>
      <c r="R237" s="11"/>
    </row>
    <row r="238" spans="1:18" ht="15.75" customHeight="1" x14ac:dyDescent="0.3">
      <c r="A238" s="11"/>
      <c r="B238" s="11"/>
      <c r="C238" s="11"/>
      <c r="D238" s="43"/>
      <c r="E238" s="43"/>
      <c r="F238" s="11"/>
      <c r="G238" s="11"/>
      <c r="H238" s="11"/>
      <c r="I238" s="11"/>
      <c r="J238" s="11"/>
      <c r="K238" s="11"/>
      <c r="L238" s="11"/>
      <c r="M238" s="11"/>
      <c r="N238" s="11"/>
      <c r="O238" s="11"/>
      <c r="P238" s="11"/>
      <c r="Q238" s="11"/>
      <c r="R238" s="11"/>
    </row>
    <row r="239" spans="1:18" ht="15.75" customHeight="1" x14ac:dyDescent="0.3">
      <c r="A239" s="11"/>
      <c r="B239" s="11"/>
      <c r="C239" s="11"/>
      <c r="D239" s="43"/>
      <c r="E239" s="43"/>
      <c r="F239" s="11"/>
      <c r="G239" s="11"/>
      <c r="H239" s="11"/>
      <c r="I239" s="11"/>
      <c r="J239" s="11"/>
      <c r="K239" s="11"/>
      <c r="L239" s="11"/>
      <c r="M239" s="11"/>
      <c r="N239" s="11"/>
      <c r="O239" s="11"/>
      <c r="P239" s="11"/>
      <c r="Q239" s="11"/>
      <c r="R239" s="11"/>
    </row>
    <row r="240" spans="1:18" ht="15.75" customHeight="1" x14ac:dyDescent="0.3">
      <c r="A240" s="11"/>
      <c r="B240" s="11"/>
      <c r="C240" s="11"/>
      <c r="D240" s="43"/>
      <c r="E240" s="43"/>
      <c r="F240" s="11"/>
      <c r="G240" s="11"/>
      <c r="H240" s="11"/>
      <c r="I240" s="11"/>
      <c r="J240" s="11"/>
      <c r="K240" s="11"/>
      <c r="L240" s="11"/>
      <c r="M240" s="11"/>
      <c r="N240" s="11"/>
      <c r="O240" s="11"/>
      <c r="P240" s="11"/>
      <c r="Q240" s="11"/>
      <c r="R240" s="11"/>
    </row>
    <row r="241" spans="1:18" ht="15.75" customHeight="1" x14ac:dyDescent="0.3">
      <c r="A241" s="11"/>
      <c r="B241" s="11"/>
      <c r="C241" s="11"/>
      <c r="D241" s="43"/>
      <c r="E241" s="43"/>
      <c r="F241" s="11"/>
      <c r="G241" s="11"/>
      <c r="H241" s="11"/>
      <c r="I241" s="11"/>
      <c r="J241" s="11"/>
      <c r="K241" s="11"/>
      <c r="L241" s="11"/>
      <c r="M241" s="11"/>
      <c r="N241" s="11"/>
      <c r="O241" s="11"/>
      <c r="P241" s="11"/>
      <c r="Q241" s="11"/>
      <c r="R241" s="11"/>
    </row>
    <row r="242" spans="1:18" ht="15.75" customHeight="1" x14ac:dyDescent="0.3">
      <c r="A242" s="11"/>
      <c r="B242" s="11"/>
      <c r="C242" s="11"/>
      <c r="D242" s="43"/>
      <c r="E242" s="43"/>
      <c r="F242" s="11"/>
      <c r="G242" s="11"/>
      <c r="H242" s="11"/>
      <c r="I242" s="11"/>
      <c r="J242" s="11"/>
      <c r="K242" s="11"/>
      <c r="L242" s="11"/>
      <c r="M242" s="11"/>
      <c r="N242" s="11"/>
      <c r="O242" s="11"/>
      <c r="P242" s="11"/>
      <c r="Q242" s="11"/>
      <c r="R242" s="11"/>
    </row>
    <row r="243" spans="1:18" ht="15.75" customHeight="1" x14ac:dyDescent="0.3">
      <c r="A243" s="11"/>
      <c r="B243" s="11"/>
      <c r="C243" s="11"/>
      <c r="D243" s="43"/>
      <c r="E243" s="43"/>
      <c r="F243" s="11"/>
      <c r="G243" s="11"/>
      <c r="H243" s="11"/>
      <c r="I243" s="11"/>
      <c r="J243" s="11"/>
      <c r="K243" s="11"/>
      <c r="L243" s="11"/>
      <c r="M243" s="11"/>
      <c r="N243" s="11"/>
      <c r="O243" s="11"/>
      <c r="P243" s="11"/>
      <c r="Q243" s="11"/>
      <c r="R243" s="11"/>
    </row>
    <row r="244" spans="1:18" ht="15.75" customHeight="1" x14ac:dyDescent="0.3">
      <c r="A244" s="11"/>
      <c r="B244" s="11"/>
      <c r="C244" s="11"/>
      <c r="D244" s="43"/>
      <c r="E244" s="43"/>
      <c r="F244" s="11"/>
      <c r="G244" s="11"/>
      <c r="H244" s="11"/>
      <c r="I244" s="11"/>
      <c r="J244" s="11"/>
      <c r="K244" s="11"/>
      <c r="L244" s="11"/>
      <c r="M244" s="11"/>
      <c r="N244" s="11"/>
      <c r="O244" s="11"/>
      <c r="P244" s="11"/>
      <c r="Q244" s="11"/>
      <c r="R244" s="11"/>
    </row>
    <row r="245" spans="1:18" ht="15.75" customHeight="1" x14ac:dyDescent="0.3">
      <c r="A245" s="11"/>
      <c r="B245" s="11"/>
      <c r="C245" s="11"/>
      <c r="D245" s="43"/>
      <c r="E245" s="43"/>
      <c r="F245" s="11"/>
      <c r="G245" s="11"/>
      <c r="H245" s="11"/>
      <c r="I245" s="11"/>
      <c r="J245" s="11"/>
      <c r="K245" s="11"/>
      <c r="L245" s="11"/>
      <c r="M245" s="11"/>
      <c r="N245" s="11"/>
      <c r="O245" s="11"/>
      <c r="P245" s="11"/>
      <c r="Q245" s="11"/>
      <c r="R245" s="11"/>
    </row>
    <row r="246" spans="1:18" ht="15.75" customHeight="1" x14ac:dyDescent="0.3">
      <c r="A246" s="11"/>
      <c r="B246" s="11"/>
      <c r="C246" s="11"/>
      <c r="D246" s="43"/>
      <c r="E246" s="43"/>
      <c r="F246" s="11"/>
      <c r="G246" s="11"/>
      <c r="H246" s="11"/>
      <c r="I246" s="11"/>
      <c r="J246" s="11"/>
      <c r="K246" s="11"/>
      <c r="L246" s="11"/>
      <c r="M246" s="11"/>
      <c r="N246" s="11"/>
      <c r="O246" s="11"/>
      <c r="P246" s="11"/>
      <c r="Q246" s="11"/>
      <c r="R246" s="11"/>
    </row>
    <row r="247" spans="1:18" ht="15.75" customHeight="1" x14ac:dyDescent="0.3">
      <c r="A247" s="11"/>
      <c r="B247" s="11"/>
      <c r="C247" s="11"/>
      <c r="D247" s="43"/>
      <c r="E247" s="43"/>
      <c r="F247" s="11"/>
      <c r="G247" s="11"/>
      <c r="H247" s="11"/>
      <c r="I247" s="11"/>
      <c r="J247" s="11"/>
      <c r="K247" s="11"/>
      <c r="L247" s="11"/>
      <c r="M247" s="11"/>
      <c r="N247" s="11"/>
      <c r="O247" s="11"/>
      <c r="P247" s="11"/>
      <c r="Q247" s="11"/>
      <c r="R247" s="11"/>
    </row>
    <row r="248" spans="1:18" ht="15.75" customHeight="1" x14ac:dyDescent="0.3">
      <c r="A248" s="11"/>
      <c r="B248" s="11"/>
      <c r="C248" s="11"/>
      <c r="D248" s="43"/>
      <c r="E248" s="43"/>
      <c r="F248" s="11"/>
      <c r="G248" s="11"/>
      <c r="H248" s="11"/>
      <c r="I248" s="11"/>
      <c r="J248" s="11"/>
      <c r="K248" s="11"/>
      <c r="L248" s="11"/>
      <c r="M248" s="11"/>
      <c r="N248" s="11"/>
      <c r="O248" s="11"/>
      <c r="P248" s="11"/>
      <c r="Q248" s="11"/>
      <c r="R248" s="11"/>
    </row>
    <row r="249" spans="1:18" ht="15.75" customHeight="1" x14ac:dyDescent="0.3">
      <c r="A249" s="11"/>
      <c r="B249" s="11"/>
      <c r="C249" s="11"/>
      <c r="D249" s="43"/>
      <c r="E249" s="43"/>
      <c r="F249" s="11"/>
      <c r="G249" s="11"/>
      <c r="H249" s="11"/>
      <c r="I249" s="11"/>
      <c r="J249" s="11"/>
      <c r="K249" s="11"/>
      <c r="L249" s="11"/>
      <c r="M249" s="11"/>
      <c r="N249" s="11"/>
      <c r="O249" s="11"/>
      <c r="P249" s="11"/>
      <c r="Q249" s="11"/>
      <c r="R249" s="11"/>
    </row>
    <row r="250" spans="1:18" ht="15.75" customHeight="1" x14ac:dyDescent="0.3">
      <c r="A250" s="11"/>
      <c r="B250" s="11"/>
      <c r="C250" s="11"/>
      <c r="D250" s="43"/>
      <c r="E250" s="43"/>
      <c r="F250" s="11"/>
      <c r="G250" s="11"/>
      <c r="H250" s="11"/>
      <c r="I250" s="11"/>
      <c r="J250" s="11"/>
      <c r="K250" s="11"/>
      <c r="L250" s="11"/>
      <c r="M250" s="11"/>
      <c r="N250" s="11"/>
      <c r="O250" s="11"/>
      <c r="P250" s="11"/>
      <c r="Q250" s="11"/>
      <c r="R250" s="11"/>
    </row>
    <row r="251" spans="1:18" ht="15.75" customHeight="1" x14ac:dyDescent="0.3">
      <c r="A251" s="11"/>
      <c r="B251" s="11"/>
      <c r="C251" s="11"/>
      <c r="D251" s="43"/>
      <c r="E251" s="43"/>
      <c r="F251" s="11"/>
      <c r="G251" s="11"/>
      <c r="H251" s="11"/>
      <c r="I251" s="11"/>
      <c r="J251" s="11"/>
      <c r="K251" s="11"/>
      <c r="L251" s="11"/>
      <c r="M251" s="11"/>
      <c r="N251" s="11"/>
      <c r="O251" s="11"/>
      <c r="P251" s="11"/>
      <c r="Q251" s="11"/>
      <c r="R251" s="11"/>
    </row>
    <row r="252" spans="1:18" ht="15.75" customHeight="1" x14ac:dyDescent="0.3">
      <c r="A252" s="11"/>
      <c r="B252" s="11"/>
      <c r="C252" s="11"/>
      <c r="D252" s="43"/>
      <c r="E252" s="43"/>
      <c r="F252" s="11"/>
      <c r="G252" s="11"/>
      <c r="H252" s="11"/>
      <c r="I252" s="11"/>
      <c r="J252" s="11"/>
      <c r="K252" s="11"/>
      <c r="L252" s="11"/>
      <c r="M252" s="11"/>
      <c r="N252" s="11"/>
      <c r="O252" s="11"/>
      <c r="P252" s="11"/>
      <c r="Q252" s="11"/>
      <c r="R252" s="11"/>
    </row>
    <row r="253" spans="1:18" ht="15.75" customHeight="1" x14ac:dyDescent="0.3">
      <c r="A253" s="11"/>
      <c r="B253" s="11"/>
      <c r="C253" s="11"/>
      <c r="D253" s="43"/>
      <c r="E253" s="43"/>
      <c r="F253" s="11"/>
      <c r="G253" s="11"/>
      <c r="H253" s="11"/>
      <c r="I253" s="11"/>
      <c r="J253" s="11"/>
      <c r="K253" s="11"/>
      <c r="L253" s="11"/>
      <c r="M253" s="11"/>
      <c r="N253" s="11"/>
      <c r="O253" s="11"/>
      <c r="P253" s="11"/>
      <c r="Q253" s="11"/>
      <c r="R253" s="11"/>
    </row>
    <row r="254" spans="1:18" ht="15.75" customHeight="1" x14ac:dyDescent="0.3">
      <c r="A254" s="11"/>
      <c r="B254" s="11"/>
      <c r="C254" s="11"/>
      <c r="D254" s="43"/>
      <c r="E254" s="43"/>
      <c r="F254" s="11"/>
      <c r="G254" s="11"/>
      <c r="H254" s="11"/>
      <c r="I254" s="11"/>
      <c r="J254" s="11"/>
      <c r="K254" s="11"/>
      <c r="L254" s="11"/>
      <c r="M254" s="11"/>
      <c r="N254" s="11"/>
      <c r="O254" s="11"/>
      <c r="P254" s="11"/>
      <c r="Q254" s="11"/>
      <c r="R254" s="11"/>
    </row>
    <row r="255" spans="1:18" ht="15.75" customHeight="1" x14ac:dyDescent="0.3">
      <c r="A255" s="11"/>
      <c r="B255" s="11"/>
      <c r="C255" s="11"/>
      <c r="D255" s="43"/>
      <c r="E255" s="43"/>
      <c r="F255" s="11"/>
      <c r="G255" s="11"/>
      <c r="H255" s="11"/>
      <c r="I255" s="11"/>
      <c r="J255" s="11"/>
      <c r="K255" s="11"/>
      <c r="L255" s="11"/>
      <c r="M255" s="11"/>
      <c r="N255" s="11"/>
      <c r="O255" s="11"/>
      <c r="P255" s="11"/>
      <c r="Q255" s="11"/>
      <c r="R255" s="11"/>
    </row>
    <row r="256" spans="1:18" ht="15.75" customHeight="1" x14ac:dyDescent="0.3">
      <c r="A256" s="11"/>
      <c r="B256" s="11"/>
      <c r="C256" s="11"/>
      <c r="D256" s="43"/>
      <c r="E256" s="43"/>
      <c r="F256" s="11"/>
      <c r="G256" s="11"/>
      <c r="H256" s="11"/>
      <c r="I256" s="11"/>
      <c r="J256" s="11"/>
      <c r="K256" s="11"/>
      <c r="L256" s="11"/>
      <c r="M256" s="11"/>
      <c r="N256" s="11"/>
      <c r="O256" s="11"/>
      <c r="P256" s="11"/>
      <c r="Q256" s="11"/>
      <c r="R256" s="11"/>
    </row>
    <row r="257" spans="1:18" ht="15.75" customHeight="1" x14ac:dyDescent="0.3">
      <c r="A257" s="11"/>
      <c r="B257" s="11"/>
      <c r="C257" s="11"/>
      <c r="D257" s="43"/>
      <c r="E257" s="43"/>
      <c r="F257" s="11"/>
      <c r="G257" s="11"/>
      <c r="H257" s="11"/>
      <c r="I257" s="11"/>
      <c r="J257" s="11"/>
      <c r="K257" s="11"/>
      <c r="L257" s="11"/>
      <c r="M257" s="11"/>
      <c r="N257" s="11"/>
      <c r="O257" s="11"/>
      <c r="P257" s="11"/>
      <c r="Q257" s="11"/>
      <c r="R257" s="11"/>
    </row>
    <row r="258" spans="1:18" ht="15.75" customHeight="1" x14ac:dyDescent="0.3">
      <c r="A258" s="11"/>
      <c r="B258" s="11"/>
      <c r="C258" s="11"/>
      <c r="D258" s="43"/>
      <c r="E258" s="43"/>
      <c r="F258" s="11"/>
      <c r="G258" s="11"/>
      <c r="H258" s="11"/>
      <c r="I258" s="11"/>
      <c r="J258" s="11"/>
      <c r="K258" s="11"/>
      <c r="L258" s="11"/>
      <c r="M258" s="11"/>
      <c r="N258" s="11"/>
      <c r="O258" s="11"/>
      <c r="P258" s="11"/>
      <c r="Q258" s="11"/>
      <c r="R258" s="11"/>
    </row>
    <row r="259" spans="1:18" ht="15.75" customHeight="1" x14ac:dyDescent="0.3">
      <c r="A259" s="11"/>
      <c r="B259" s="11"/>
      <c r="C259" s="11"/>
      <c r="D259" s="43"/>
      <c r="E259" s="43"/>
      <c r="F259" s="11"/>
      <c r="G259" s="11"/>
      <c r="H259" s="11"/>
      <c r="I259" s="11"/>
      <c r="J259" s="11"/>
      <c r="K259" s="11"/>
      <c r="L259" s="11"/>
      <c r="M259" s="11"/>
      <c r="N259" s="11"/>
      <c r="O259" s="11"/>
      <c r="P259" s="11"/>
      <c r="Q259" s="11"/>
      <c r="R259" s="11"/>
    </row>
    <row r="260" spans="1:18" ht="15.75" customHeight="1" x14ac:dyDescent="0.3">
      <c r="A260" s="11"/>
      <c r="B260" s="11"/>
      <c r="C260" s="11"/>
      <c r="D260" s="43"/>
      <c r="E260" s="43"/>
      <c r="F260" s="11"/>
      <c r="G260" s="11"/>
      <c r="H260" s="11"/>
      <c r="I260" s="11"/>
      <c r="J260" s="11"/>
      <c r="K260" s="11"/>
      <c r="L260" s="11"/>
      <c r="M260" s="11"/>
      <c r="N260" s="11"/>
      <c r="O260" s="11"/>
      <c r="P260" s="11"/>
      <c r="Q260" s="11"/>
      <c r="R260" s="11"/>
    </row>
    <row r="261" spans="1:18" ht="15.75" customHeight="1" x14ac:dyDescent="0.3">
      <c r="A261" s="11"/>
      <c r="B261" s="11"/>
      <c r="C261" s="11"/>
      <c r="D261" s="43"/>
      <c r="E261" s="43"/>
      <c r="F261" s="11"/>
      <c r="G261" s="11"/>
      <c r="H261" s="11"/>
      <c r="I261" s="11"/>
      <c r="J261" s="11"/>
      <c r="K261" s="11"/>
      <c r="L261" s="11"/>
      <c r="M261" s="11"/>
      <c r="N261" s="11"/>
      <c r="O261" s="11"/>
      <c r="P261" s="11"/>
      <c r="Q261" s="11"/>
      <c r="R261" s="11"/>
    </row>
    <row r="262" spans="1:18" ht="15.75" customHeight="1" x14ac:dyDescent="0.3">
      <c r="A262" s="11"/>
      <c r="B262" s="11"/>
      <c r="C262" s="11"/>
      <c r="D262" s="43"/>
      <c r="E262" s="43"/>
      <c r="F262" s="11"/>
      <c r="G262" s="11"/>
      <c r="H262" s="11"/>
      <c r="I262" s="11"/>
      <c r="J262" s="11"/>
      <c r="K262" s="11"/>
      <c r="L262" s="11"/>
      <c r="M262" s="11"/>
      <c r="N262" s="11"/>
      <c r="O262" s="11"/>
      <c r="P262" s="11"/>
      <c r="Q262" s="11"/>
      <c r="R262" s="11"/>
    </row>
    <row r="263" spans="1:18" ht="15.75" customHeight="1" x14ac:dyDescent="0.3">
      <c r="A263" s="11"/>
      <c r="B263" s="11"/>
      <c r="C263" s="11"/>
      <c r="D263" s="43"/>
      <c r="E263" s="43"/>
      <c r="F263" s="11"/>
      <c r="G263" s="11"/>
      <c r="H263" s="11"/>
      <c r="I263" s="11"/>
      <c r="J263" s="11"/>
      <c r="K263" s="11"/>
      <c r="L263" s="11"/>
      <c r="M263" s="11"/>
      <c r="N263" s="11"/>
      <c r="O263" s="11"/>
      <c r="P263" s="11"/>
      <c r="Q263" s="11"/>
      <c r="R263" s="11"/>
    </row>
    <row r="264" spans="1:18" ht="15.75" customHeight="1" x14ac:dyDescent="0.3">
      <c r="A264" s="11"/>
      <c r="B264" s="11"/>
      <c r="C264" s="11"/>
      <c r="D264" s="43"/>
      <c r="E264" s="43"/>
      <c r="F264" s="11"/>
      <c r="G264" s="11"/>
      <c r="H264" s="11"/>
      <c r="I264" s="11"/>
      <c r="J264" s="11"/>
      <c r="K264" s="11"/>
      <c r="L264" s="11"/>
      <c r="M264" s="11"/>
      <c r="N264" s="11"/>
      <c r="O264" s="11"/>
      <c r="P264" s="11"/>
      <c r="Q264" s="11"/>
      <c r="R264" s="11"/>
    </row>
    <row r="265" spans="1:18" ht="15.75" customHeight="1" x14ac:dyDescent="0.3">
      <c r="A265" s="11"/>
      <c r="B265" s="11"/>
      <c r="C265" s="11"/>
      <c r="D265" s="43"/>
      <c r="E265" s="43"/>
      <c r="F265" s="11"/>
      <c r="G265" s="11"/>
      <c r="H265" s="11"/>
      <c r="I265" s="11"/>
      <c r="J265" s="11"/>
      <c r="K265" s="11"/>
      <c r="L265" s="11"/>
      <c r="M265" s="11"/>
      <c r="N265" s="11"/>
      <c r="O265" s="11"/>
      <c r="P265" s="11"/>
      <c r="Q265" s="11"/>
      <c r="R265" s="11"/>
    </row>
  </sheetData>
  <mergeCells count="19">
    <mergeCell ref="G15:H15"/>
    <mergeCell ref="A1:I1"/>
    <mergeCell ref="G6:H6"/>
    <mergeCell ref="D7:I7"/>
    <mergeCell ref="G10:H10"/>
    <mergeCell ref="D11:I11"/>
    <mergeCell ref="B65:I65"/>
    <mergeCell ref="D16:I16"/>
    <mergeCell ref="B17:I17"/>
    <mergeCell ref="G54:H54"/>
    <mergeCell ref="D55:I55"/>
    <mergeCell ref="B56:I56"/>
    <mergeCell ref="G57:H57"/>
    <mergeCell ref="D58:I58"/>
    <mergeCell ref="B59:I59"/>
    <mergeCell ref="G61:H61"/>
    <mergeCell ref="D62:I62"/>
    <mergeCell ref="D63:I63"/>
    <mergeCell ref="B61:C61"/>
  </mergeCells>
  <printOptions horizontalCentered="1"/>
  <pageMargins left="0.19685039370078741" right="0.19685039370078741" top="0.19685039370078741" bottom="0.19685039370078741" header="0" footer="0"/>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58"/>
  <sheetViews>
    <sheetView topLeftCell="A2" workbookViewId="0"/>
  </sheetViews>
  <sheetFormatPr defaultColWidth="14.33203125" defaultRowHeight="15" customHeight="1" x14ac:dyDescent="0.3"/>
  <cols>
    <col min="1" max="1" width="5" customWidth="1"/>
    <col min="2" max="2" width="38" customWidth="1"/>
    <col min="3" max="3" width="22.33203125" customWidth="1"/>
    <col min="4" max="4" width="16.33203125" customWidth="1"/>
    <col min="5" max="6" width="11.88671875" customWidth="1"/>
    <col min="7" max="7" width="10.33203125" customWidth="1"/>
    <col min="8" max="8" width="21.109375" customWidth="1"/>
    <col min="9" max="9" width="7.33203125" customWidth="1"/>
    <col min="10" max="26" width="8.88671875" customWidth="1"/>
  </cols>
  <sheetData>
    <row r="1" spans="1:26" ht="60.75" hidden="1" customHeight="1" x14ac:dyDescent="0.3">
      <c r="A1" s="214" t="s">
        <v>99</v>
      </c>
      <c r="B1" s="194"/>
      <c r="C1" s="194"/>
      <c r="D1" s="194"/>
      <c r="E1" s="194"/>
      <c r="F1" s="194"/>
      <c r="G1" s="194"/>
      <c r="H1" s="194"/>
      <c r="I1" s="194"/>
      <c r="J1" s="44"/>
      <c r="K1" s="44"/>
      <c r="L1" s="44"/>
      <c r="M1" s="44"/>
      <c r="N1" s="44"/>
      <c r="O1" s="44"/>
      <c r="P1" s="44"/>
      <c r="Q1" s="44"/>
      <c r="R1" s="44"/>
      <c r="S1" s="44"/>
      <c r="T1" s="44"/>
      <c r="U1" s="44"/>
      <c r="V1" s="44"/>
      <c r="W1" s="44"/>
      <c r="X1" s="44"/>
      <c r="Y1" s="44"/>
      <c r="Z1" s="44"/>
    </row>
    <row r="2" spans="1:26" ht="14.25" customHeight="1" x14ac:dyDescent="0.3">
      <c r="A2" s="10"/>
      <c r="B2" s="45"/>
      <c r="C2" s="45"/>
      <c r="D2" s="45"/>
      <c r="E2" s="45"/>
      <c r="F2" s="45"/>
      <c r="G2" s="45"/>
      <c r="H2" s="215" t="s">
        <v>100</v>
      </c>
      <c r="I2" s="194"/>
      <c r="J2" s="44"/>
      <c r="K2" s="44"/>
      <c r="L2" s="44"/>
      <c r="M2" s="44"/>
      <c r="N2" s="44"/>
      <c r="O2" s="44"/>
      <c r="P2" s="44"/>
      <c r="Q2" s="44"/>
      <c r="R2" s="44"/>
      <c r="S2" s="44"/>
      <c r="T2" s="44"/>
      <c r="U2" s="44"/>
      <c r="V2" s="44"/>
      <c r="W2" s="44"/>
      <c r="X2" s="44"/>
      <c r="Y2" s="44"/>
      <c r="Z2" s="44"/>
    </row>
    <row r="3" spans="1:26" ht="14.25" customHeight="1" x14ac:dyDescent="0.3">
      <c r="A3" s="216" t="s">
        <v>101</v>
      </c>
      <c r="B3" s="194"/>
      <c r="C3" s="46"/>
      <c r="D3" s="46"/>
      <c r="E3" s="47"/>
      <c r="F3" s="217" t="s">
        <v>0</v>
      </c>
      <c r="G3" s="194"/>
      <c r="H3" s="194"/>
      <c r="I3" s="194"/>
      <c r="J3" s="44"/>
      <c r="K3" s="44"/>
      <c r="L3" s="44"/>
      <c r="M3" s="44"/>
      <c r="N3" s="44"/>
      <c r="O3" s="44"/>
      <c r="P3" s="44"/>
      <c r="Q3" s="44"/>
      <c r="R3" s="44"/>
      <c r="S3" s="44"/>
      <c r="T3" s="44"/>
      <c r="U3" s="44"/>
      <c r="V3" s="44"/>
      <c r="W3" s="44"/>
      <c r="X3" s="44"/>
      <c r="Y3" s="44"/>
      <c r="Z3" s="44"/>
    </row>
    <row r="4" spans="1:26" ht="14.25" customHeight="1" x14ac:dyDescent="0.3">
      <c r="A4" s="194"/>
      <c r="B4" s="194"/>
      <c r="C4" s="46"/>
      <c r="D4" s="46"/>
      <c r="E4" s="47"/>
      <c r="F4" s="218" t="s">
        <v>102</v>
      </c>
      <c r="G4" s="194"/>
      <c r="H4" s="194"/>
      <c r="I4" s="194"/>
      <c r="J4" s="44"/>
      <c r="K4" s="44"/>
      <c r="L4" s="44"/>
      <c r="M4" s="44"/>
      <c r="N4" s="44"/>
      <c r="O4" s="44"/>
      <c r="P4" s="44"/>
      <c r="Q4" s="44"/>
      <c r="R4" s="44"/>
      <c r="S4" s="44"/>
      <c r="T4" s="44"/>
      <c r="U4" s="44"/>
      <c r="V4" s="44"/>
      <c r="W4" s="44"/>
      <c r="X4" s="44"/>
      <c r="Y4" s="44"/>
      <c r="Z4" s="44"/>
    </row>
    <row r="5" spans="1:26" ht="53.25" customHeight="1" x14ac:dyDescent="0.3">
      <c r="A5" s="213" t="s">
        <v>103</v>
      </c>
      <c r="B5" s="194"/>
      <c r="C5" s="194"/>
      <c r="D5" s="194"/>
      <c r="E5" s="194"/>
      <c r="F5" s="194"/>
      <c r="G5" s="194"/>
      <c r="H5" s="194"/>
      <c r="I5" s="194"/>
      <c r="J5" s="44"/>
      <c r="K5" s="44"/>
      <c r="L5" s="44"/>
      <c r="M5" s="44"/>
      <c r="N5" s="44"/>
      <c r="O5" s="44"/>
      <c r="P5" s="44"/>
      <c r="Q5" s="44"/>
      <c r="R5" s="44"/>
      <c r="S5" s="44"/>
      <c r="T5" s="44"/>
      <c r="U5" s="44"/>
      <c r="V5" s="44"/>
      <c r="W5" s="44"/>
      <c r="X5" s="44"/>
      <c r="Y5" s="44"/>
      <c r="Z5" s="44"/>
    </row>
    <row r="6" spans="1:26" ht="14.25" customHeight="1" x14ac:dyDescent="0.3">
      <c r="A6" s="219" t="s">
        <v>104</v>
      </c>
      <c r="B6" s="194"/>
      <c r="C6" s="194"/>
      <c r="D6" s="194"/>
      <c r="E6" s="194"/>
      <c r="F6" s="194"/>
      <c r="G6" s="194"/>
      <c r="H6" s="194"/>
      <c r="I6" s="194"/>
      <c r="J6" s="44"/>
      <c r="K6" s="44"/>
      <c r="L6" s="44"/>
      <c r="M6" s="44"/>
      <c r="N6" s="44"/>
      <c r="O6" s="44"/>
      <c r="P6" s="44"/>
      <c r="Q6" s="44"/>
      <c r="R6" s="44"/>
      <c r="S6" s="44"/>
      <c r="T6" s="44"/>
      <c r="U6" s="44"/>
      <c r="V6" s="44"/>
      <c r="W6" s="44"/>
      <c r="X6" s="44"/>
      <c r="Y6" s="44"/>
      <c r="Z6" s="44"/>
    </row>
    <row r="7" spans="1:26" ht="14.25" customHeight="1" x14ac:dyDescent="0.3">
      <c r="A7" s="49"/>
      <c r="B7" s="220" t="s">
        <v>105</v>
      </c>
      <c r="C7" s="208"/>
      <c r="D7" s="208"/>
      <c r="E7" s="208"/>
      <c r="F7" s="208"/>
      <c r="G7" s="208"/>
      <c r="H7" s="208"/>
      <c r="I7" s="209"/>
      <c r="J7" s="44"/>
      <c r="K7" s="44"/>
      <c r="L7" s="44"/>
      <c r="M7" s="44"/>
      <c r="N7" s="44"/>
      <c r="O7" s="44"/>
      <c r="P7" s="44"/>
      <c r="Q7" s="44"/>
      <c r="R7" s="44"/>
      <c r="S7" s="44"/>
      <c r="T7" s="44"/>
      <c r="U7" s="44"/>
      <c r="V7" s="44"/>
      <c r="W7" s="44"/>
      <c r="X7" s="44"/>
      <c r="Y7" s="44"/>
      <c r="Z7" s="44"/>
    </row>
    <row r="8" spans="1:26" ht="14.25" customHeight="1" x14ac:dyDescent="0.3">
      <c r="A8" s="49"/>
      <c r="B8" s="220" t="s">
        <v>106</v>
      </c>
      <c r="C8" s="208"/>
      <c r="D8" s="208"/>
      <c r="E8" s="208"/>
      <c r="F8" s="208"/>
      <c r="G8" s="208"/>
      <c r="H8" s="208"/>
      <c r="I8" s="209"/>
      <c r="J8" s="44"/>
      <c r="K8" s="44"/>
      <c r="L8" s="44"/>
      <c r="M8" s="44"/>
      <c r="N8" s="44"/>
      <c r="O8" s="44"/>
      <c r="P8" s="44"/>
      <c r="Q8" s="44"/>
      <c r="R8" s="44"/>
      <c r="S8" s="44"/>
      <c r="T8" s="44"/>
      <c r="U8" s="44"/>
      <c r="V8" s="44"/>
      <c r="W8" s="44"/>
      <c r="X8" s="44"/>
      <c r="Y8" s="44"/>
      <c r="Z8" s="44"/>
    </row>
    <row r="9" spans="1:26" ht="14.25" customHeight="1" x14ac:dyDescent="0.3">
      <c r="A9" s="49"/>
      <c r="B9" s="220" t="s">
        <v>107</v>
      </c>
      <c r="C9" s="208"/>
      <c r="D9" s="208"/>
      <c r="E9" s="208"/>
      <c r="F9" s="208"/>
      <c r="G9" s="208"/>
      <c r="H9" s="208"/>
      <c r="I9" s="209"/>
      <c r="J9" s="44"/>
      <c r="K9" s="44"/>
      <c r="L9" s="44"/>
      <c r="M9" s="44"/>
      <c r="N9" s="44"/>
      <c r="O9" s="44"/>
      <c r="P9" s="44"/>
      <c r="Q9" s="44"/>
      <c r="R9" s="44"/>
      <c r="S9" s="44"/>
      <c r="T9" s="44"/>
      <c r="U9" s="44"/>
      <c r="V9" s="44"/>
      <c r="W9" s="44"/>
      <c r="X9" s="44"/>
      <c r="Y9" s="44"/>
      <c r="Z9" s="44"/>
    </row>
    <row r="10" spans="1:26" ht="14.25" customHeight="1" x14ac:dyDescent="0.3">
      <c r="A10" s="49"/>
      <c r="B10" s="220" t="s">
        <v>108</v>
      </c>
      <c r="C10" s="208"/>
      <c r="D10" s="208"/>
      <c r="E10" s="208"/>
      <c r="F10" s="208"/>
      <c r="G10" s="208"/>
      <c r="H10" s="208"/>
      <c r="I10" s="209"/>
      <c r="J10" s="44"/>
      <c r="K10" s="44"/>
      <c r="L10" s="44"/>
      <c r="M10" s="44"/>
      <c r="N10" s="44"/>
      <c r="O10" s="44"/>
      <c r="P10" s="44"/>
      <c r="Q10" s="44"/>
      <c r="R10" s="44"/>
      <c r="S10" s="44"/>
      <c r="T10" s="44"/>
      <c r="U10" s="44"/>
      <c r="V10" s="44"/>
      <c r="W10" s="44"/>
      <c r="X10" s="44"/>
      <c r="Y10" s="44"/>
      <c r="Z10" s="44"/>
    </row>
    <row r="11" spans="1:26" ht="14.25" customHeight="1" x14ac:dyDescent="0.3">
      <c r="A11" s="49"/>
      <c r="B11" s="222" t="s">
        <v>109</v>
      </c>
      <c r="C11" s="208"/>
      <c r="D11" s="208"/>
      <c r="E11" s="208"/>
      <c r="F11" s="208"/>
      <c r="G11" s="208"/>
      <c r="H11" s="208"/>
      <c r="I11" s="209"/>
      <c r="J11" s="44"/>
      <c r="K11" s="44"/>
      <c r="L11" s="44"/>
      <c r="M11" s="44"/>
      <c r="N11" s="44"/>
      <c r="O11" s="44"/>
      <c r="P11" s="44"/>
      <c r="Q11" s="44"/>
      <c r="R11" s="44"/>
      <c r="S11" s="44"/>
      <c r="T11" s="44"/>
      <c r="U11" s="44"/>
      <c r="V11" s="44"/>
      <c r="W11" s="44"/>
      <c r="X11" s="44"/>
      <c r="Y11" s="44"/>
      <c r="Z11" s="44"/>
    </row>
    <row r="12" spans="1:26" ht="14.25" customHeight="1" x14ac:dyDescent="0.3">
      <c r="A12" s="49"/>
      <c r="B12" s="223" t="s">
        <v>110</v>
      </c>
      <c r="C12" s="194"/>
      <c r="D12" s="194"/>
      <c r="E12" s="194"/>
      <c r="F12" s="194"/>
      <c r="G12" s="194"/>
      <c r="H12" s="194"/>
      <c r="I12" s="194"/>
      <c r="J12" s="44"/>
      <c r="K12" s="44"/>
      <c r="L12" s="44"/>
      <c r="M12" s="44"/>
      <c r="N12" s="44"/>
      <c r="O12" s="44"/>
      <c r="P12" s="44"/>
      <c r="Q12" s="44"/>
      <c r="R12" s="44"/>
      <c r="S12" s="44"/>
      <c r="T12" s="44"/>
      <c r="U12" s="44"/>
      <c r="V12" s="44"/>
      <c r="W12" s="44"/>
      <c r="X12" s="44"/>
      <c r="Y12" s="44"/>
      <c r="Z12" s="44"/>
    </row>
    <row r="13" spans="1:26" ht="14.25" customHeight="1" x14ac:dyDescent="0.3">
      <c r="A13" s="49"/>
      <c r="B13" s="224" t="s">
        <v>111</v>
      </c>
      <c r="C13" s="194"/>
      <c r="D13" s="194"/>
      <c r="E13" s="194"/>
      <c r="F13" s="194"/>
      <c r="G13" s="194"/>
      <c r="H13" s="194"/>
      <c r="I13" s="194"/>
      <c r="J13" s="44"/>
      <c r="K13" s="44"/>
      <c r="L13" s="44"/>
      <c r="M13" s="44"/>
      <c r="N13" s="44"/>
      <c r="O13" s="44"/>
      <c r="P13" s="44"/>
      <c r="Q13" s="44"/>
      <c r="R13" s="44"/>
      <c r="S13" s="44"/>
      <c r="T13" s="44"/>
      <c r="U13" s="44"/>
      <c r="V13" s="44"/>
      <c r="W13" s="44"/>
      <c r="X13" s="44"/>
      <c r="Y13" s="44"/>
      <c r="Z13" s="44"/>
    </row>
    <row r="14" spans="1:26" ht="19.5" customHeight="1" x14ac:dyDescent="0.3">
      <c r="A14" s="50" t="s">
        <v>10</v>
      </c>
      <c r="B14" s="221" t="s">
        <v>112</v>
      </c>
      <c r="C14" s="208"/>
      <c r="D14" s="208"/>
      <c r="E14" s="208"/>
      <c r="F14" s="208"/>
      <c r="G14" s="208"/>
      <c r="H14" s="208"/>
      <c r="I14" s="209"/>
      <c r="J14" s="51"/>
      <c r="K14" s="51"/>
      <c r="L14" s="51"/>
      <c r="M14" s="51"/>
      <c r="N14" s="51"/>
      <c r="O14" s="51"/>
      <c r="P14" s="51"/>
      <c r="Q14" s="51"/>
      <c r="R14" s="51"/>
      <c r="S14" s="51"/>
      <c r="T14" s="51"/>
      <c r="U14" s="51"/>
      <c r="V14" s="51"/>
      <c r="W14" s="51"/>
      <c r="X14" s="51"/>
      <c r="Y14" s="51"/>
      <c r="Z14" s="51"/>
    </row>
    <row r="15" spans="1:26" ht="14.25" customHeight="1" x14ac:dyDescent="0.3">
      <c r="A15" s="50" t="s">
        <v>1</v>
      </c>
      <c r="B15" s="211" t="s">
        <v>113</v>
      </c>
      <c r="C15" s="208"/>
      <c r="D15" s="209"/>
      <c r="E15" s="50" t="s">
        <v>114</v>
      </c>
      <c r="F15" s="50" t="s">
        <v>115</v>
      </c>
      <c r="G15" s="50" t="s">
        <v>116</v>
      </c>
      <c r="H15" s="50" t="s">
        <v>117</v>
      </c>
      <c r="I15" s="50" t="s">
        <v>118</v>
      </c>
      <c r="J15" s="51"/>
      <c r="K15" s="51"/>
      <c r="L15" s="51"/>
      <c r="M15" s="51"/>
      <c r="N15" s="51"/>
      <c r="O15" s="51"/>
      <c r="P15" s="51"/>
      <c r="Q15" s="51"/>
      <c r="R15" s="51"/>
      <c r="S15" s="51"/>
      <c r="T15" s="51"/>
      <c r="U15" s="51"/>
      <c r="V15" s="51"/>
      <c r="W15" s="51"/>
      <c r="X15" s="51"/>
      <c r="Y15" s="51"/>
      <c r="Z15" s="51"/>
    </row>
    <row r="16" spans="1:26" ht="41.25" customHeight="1" x14ac:dyDescent="0.3">
      <c r="A16" s="52">
        <v>1</v>
      </c>
      <c r="B16" s="212" t="s">
        <v>119</v>
      </c>
      <c r="C16" s="208"/>
      <c r="D16" s="209"/>
      <c r="E16" s="53"/>
      <c r="F16" s="53"/>
      <c r="G16" s="54">
        <f t="shared" ref="G16:H16" si="0">SUM(G17:G25)</f>
        <v>18</v>
      </c>
      <c r="H16" s="54">
        <f t="shared" si="0"/>
        <v>18</v>
      </c>
      <c r="I16" s="52"/>
      <c r="J16" s="51"/>
      <c r="K16" s="51"/>
      <c r="L16" s="51"/>
      <c r="M16" s="51"/>
      <c r="N16" s="51"/>
      <c r="O16" s="51"/>
      <c r="P16" s="51"/>
      <c r="Q16" s="51"/>
      <c r="R16" s="51"/>
      <c r="S16" s="51"/>
      <c r="T16" s="51"/>
      <c r="U16" s="51"/>
      <c r="V16" s="51"/>
      <c r="W16" s="51"/>
      <c r="X16" s="51"/>
      <c r="Y16" s="51"/>
      <c r="Z16" s="51"/>
    </row>
    <row r="17" spans="1:26" ht="94.5" customHeight="1" x14ac:dyDescent="0.3">
      <c r="A17" s="55" t="s">
        <v>120</v>
      </c>
      <c r="B17" s="210" t="s">
        <v>121</v>
      </c>
      <c r="C17" s="208"/>
      <c r="D17" s="209"/>
      <c r="E17" s="55"/>
      <c r="F17" s="55"/>
      <c r="G17" s="55">
        <v>2</v>
      </c>
      <c r="H17" s="55">
        <v>2</v>
      </c>
      <c r="I17" s="56"/>
      <c r="J17" s="51"/>
      <c r="K17" s="51"/>
      <c r="L17" s="51"/>
      <c r="M17" s="51"/>
      <c r="N17" s="51"/>
      <c r="O17" s="51"/>
      <c r="P17" s="51"/>
      <c r="Q17" s="51"/>
      <c r="R17" s="51"/>
      <c r="S17" s="51"/>
      <c r="T17" s="51"/>
      <c r="U17" s="51"/>
      <c r="V17" s="51"/>
      <c r="W17" s="51"/>
      <c r="X17" s="51"/>
      <c r="Y17" s="51"/>
      <c r="Z17" s="51"/>
    </row>
    <row r="18" spans="1:26" ht="63.75" customHeight="1" x14ac:dyDescent="0.3">
      <c r="A18" s="57" t="s">
        <v>122</v>
      </c>
      <c r="B18" s="207" t="s">
        <v>123</v>
      </c>
      <c r="C18" s="208"/>
      <c r="D18" s="209"/>
      <c r="E18" s="57"/>
      <c r="F18" s="57"/>
      <c r="G18" s="57">
        <v>2</v>
      </c>
      <c r="H18" s="57">
        <v>2</v>
      </c>
      <c r="I18" s="58"/>
      <c r="J18" s="51"/>
      <c r="K18" s="51"/>
      <c r="L18" s="51"/>
      <c r="M18" s="51"/>
      <c r="N18" s="51"/>
      <c r="O18" s="51"/>
      <c r="P18" s="51"/>
      <c r="Q18" s="51"/>
      <c r="R18" s="51"/>
      <c r="S18" s="51"/>
      <c r="T18" s="51"/>
      <c r="U18" s="51"/>
      <c r="V18" s="51"/>
      <c r="W18" s="51"/>
      <c r="X18" s="51"/>
      <c r="Y18" s="51"/>
      <c r="Z18" s="51"/>
    </row>
    <row r="19" spans="1:26" ht="77.25" customHeight="1" x14ac:dyDescent="0.3">
      <c r="A19" s="55" t="s">
        <v>124</v>
      </c>
      <c r="B19" s="210" t="s">
        <v>125</v>
      </c>
      <c r="C19" s="208"/>
      <c r="D19" s="209"/>
      <c r="E19" s="55"/>
      <c r="F19" s="55"/>
      <c r="G19" s="55">
        <v>2</v>
      </c>
      <c r="H19" s="55">
        <v>2</v>
      </c>
      <c r="I19" s="56"/>
      <c r="J19" s="51"/>
      <c r="K19" s="51"/>
      <c r="L19" s="51"/>
      <c r="M19" s="51"/>
      <c r="N19" s="51"/>
      <c r="O19" s="51"/>
      <c r="P19" s="51"/>
      <c r="Q19" s="51"/>
      <c r="R19" s="51"/>
      <c r="S19" s="51"/>
      <c r="T19" s="51"/>
      <c r="U19" s="51"/>
      <c r="V19" s="51"/>
      <c r="W19" s="51"/>
      <c r="X19" s="51"/>
      <c r="Y19" s="51"/>
      <c r="Z19" s="51"/>
    </row>
    <row r="20" spans="1:26" ht="63" customHeight="1" x14ac:dyDescent="0.3">
      <c r="A20" s="57" t="s">
        <v>126</v>
      </c>
      <c r="B20" s="207" t="s">
        <v>127</v>
      </c>
      <c r="C20" s="208"/>
      <c r="D20" s="209"/>
      <c r="E20" s="57"/>
      <c r="F20" s="57"/>
      <c r="G20" s="57">
        <v>2</v>
      </c>
      <c r="H20" s="57">
        <v>2</v>
      </c>
      <c r="I20" s="58"/>
      <c r="J20" s="51"/>
      <c r="K20" s="51"/>
      <c r="L20" s="51"/>
      <c r="M20" s="51"/>
      <c r="N20" s="51"/>
      <c r="O20" s="51"/>
      <c r="P20" s="51"/>
      <c r="Q20" s="51"/>
      <c r="R20" s="51"/>
      <c r="S20" s="51"/>
      <c r="T20" s="51"/>
      <c r="U20" s="51"/>
      <c r="V20" s="51"/>
      <c r="W20" s="51"/>
      <c r="X20" s="51"/>
      <c r="Y20" s="51"/>
      <c r="Z20" s="51"/>
    </row>
    <row r="21" spans="1:26" ht="94.5" customHeight="1" x14ac:dyDescent="0.3">
      <c r="A21" s="55" t="s">
        <v>128</v>
      </c>
      <c r="B21" s="210" t="s">
        <v>129</v>
      </c>
      <c r="C21" s="208"/>
      <c r="D21" s="209"/>
      <c r="E21" s="55"/>
      <c r="F21" s="55"/>
      <c r="G21" s="55">
        <v>2</v>
      </c>
      <c r="H21" s="55">
        <v>2</v>
      </c>
      <c r="I21" s="56"/>
      <c r="J21" s="51"/>
      <c r="K21" s="51"/>
      <c r="L21" s="51"/>
      <c r="M21" s="51"/>
      <c r="N21" s="51"/>
      <c r="O21" s="51"/>
      <c r="P21" s="51"/>
      <c r="Q21" s="51"/>
      <c r="R21" s="51"/>
      <c r="S21" s="51"/>
      <c r="T21" s="51"/>
      <c r="U21" s="51"/>
      <c r="V21" s="51"/>
      <c r="W21" s="51"/>
      <c r="X21" s="51"/>
      <c r="Y21" s="51"/>
      <c r="Z21" s="51"/>
    </row>
    <row r="22" spans="1:26" ht="111" customHeight="1" x14ac:dyDescent="0.3">
      <c r="A22" s="57" t="s">
        <v>130</v>
      </c>
      <c r="B22" s="207" t="s">
        <v>131</v>
      </c>
      <c r="C22" s="208"/>
      <c r="D22" s="209"/>
      <c r="E22" s="57"/>
      <c r="F22" s="57"/>
      <c r="G22" s="57">
        <v>2</v>
      </c>
      <c r="H22" s="57">
        <v>2</v>
      </c>
      <c r="I22" s="58"/>
      <c r="J22" s="51"/>
      <c r="K22" s="51"/>
      <c r="L22" s="51"/>
      <c r="M22" s="51"/>
      <c r="N22" s="51"/>
      <c r="O22" s="51"/>
      <c r="P22" s="51"/>
      <c r="Q22" s="51"/>
      <c r="R22" s="51"/>
      <c r="S22" s="51"/>
      <c r="T22" s="51"/>
      <c r="U22" s="51"/>
      <c r="V22" s="51"/>
      <c r="W22" s="51"/>
      <c r="X22" s="51"/>
      <c r="Y22" s="51"/>
      <c r="Z22" s="51"/>
    </row>
    <row r="23" spans="1:26" ht="30.75" customHeight="1" x14ac:dyDescent="0.3">
      <c r="A23" s="55" t="s">
        <v>132</v>
      </c>
      <c r="B23" s="210" t="s">
        <v>133</v>
      </c>
      <c r="C23" s="208"/>
      <c r="D23" s="209"/>
      <c r="E23" s="55"/>
      <c r="F23" s="55"/>
      <c r="G23" s="55">
        <v>2</v>
      </c>
      <c r="H23" s="55">
        <v>2</v>
      </c>
      <c r="I23" s="56"/>
      <c r="J23" s="51"/>
      <c r="K23" s="51"/>
      <c r="L23" s="51"/>
      <c r="M23" s="51"/>
      <c r="N23" s="51"/>
      <c r="O23" s="51"/>
      <c r="P23" s="51"/>
      <c r="Q23" s="51"/>
      <c r="R23" s="51"/>
      <c r="S23" s="51"/>
      <c r="T23" s="51"/>
      <c r="U23" s="51"/>
      <c r="V23" s="51"/>
      <c r="W23" s="51"/>
      <c r="X23" s="51"/>
      <c r="Y23" s="51"/>
      <c r="Z23" s="51"/>
    </row>
    <row r="24" spans="1:26" ht="31.5" customHeight="1" x14ac:dyDescent="0.3">
      <c r="A24" s="57" t="s">
        <v>134</v>
      </c>
      <c r="B24" s="207" t="s">
        <v>135</v>
      </c>
      <c r="C24" s="208"/>
      <c r="D24" s="209"/>
      <c r="E24" s="57"/>
      <c r="F24" s="57"/>
      <c r="G24" s="57">
        <v>2</v>
      </c>
      <c r="H24" s="57">
        <v>2</v>
      </c>
      <c r="I24" s="58"/>
      <c r="J24" s="51"/>
      <c r="K24" s="51"/>
      <c r="L24" s="51"/>
      <c r="M24" s="51"/>
      <c r="N24" s="51"/>
      <c r="O24" s="51"/>
      <c r="P24" s="51"/>
      <c r="Q24" s="51"/>
      <c r="R24" s="51"/>
      <c r="S24" s="51"/>
      <c r="T24" s="51"/>
      <c r="U24" s="51"/>
      <c r="V24" s="51"/>
      <c r="W24" s="51"/>
      <c r="X24" s="51"/>
      <c r="Y24" s="51"/>
      <c r="Z24" s="51"/>
    </row>
    <row r="25" spans="1:26" ht="62.25" customHeight="1" x14ac:dyDescent="0.3">
      <c r="A25" s="55" t="s">
        <v>136</v>
      </c>
      <c r="B25" s="210" t="s">
        <v>137</v>
      </c>
      <c r="C25" s="208"/>
      <c r="D25" s="209"/>
      <c r="E25" s="55"/>
      <c r="F25" s="55"/>
      <c r="G25" s="55">
        <v>2</v>
      </c>
      <c r="H25" s="55">
        <v>2</v>
      </c>
      <c r="I25" s="56"/>
      <c r="J25" s="51"/>
      <c r="K25" s="51"/>
      <c r="L25" s="51"/>
      <c r="M25" s="51"/>
      <c r="N25" s="51"/>
      <c r="O25" s="51"/>
      <c r="P25" s="51"/>
      <c r="Q25" s="51"/>
      <c r="R25" s="51"/>
      <c r="S25" s="51"/>
      <c r="T25" s="51"/>
      <c r="U25" s="51"/>
      <c r="V25" s="51"/>
      <c r="W25" s="51"/>
      <c r="X25" s="51"/>
      <c r="Y25" s="51"/>
      <c r="Z25" s="51"/>
    </row>
    <row r="26" spans="1:26" ht="25.5" customHeight="1" x14ac:dyDescent="0.3">
      <c r="A26" s="52">
        <v>2</v>
      </c>
      <c r="B26" s="212" t="s">
        <v>138</v>
      </c>
      <c r="C26" s="208"/>
      <c r="D26" s="209"/>
      <c r="E26" s="53"/>
      <c r="F26" s="53"/>
      <c r="G26" s="54">
        <f t="shared" ref="G26:H26" si="1">SUM(G27:G30)</f>
        <v>4</v>
      </c>
      <c r="H26" s="54">
        <f t="shared" si="1"/>
        <v>4</v>
      </c>
      <c r="I26" s="52"/>
      <c r="J26" s="51"/>
      <c r="K26" s="51"/>
      <c r="L26" s="51"/>
      <c r="M26" s="51"/>
      <c r="N26" s="51"/>
      <c r="O26" s="51"/>
      <c r="P26" s="51"/>
      <c r="Q26" s="51"/>
      <c r="R26" s="51"/>
      <c r="S26" s="51"/>
      <c r="T26" s="51"/>
      <c r="U26" s="51"/>
      <c r="V26" s="51"/>
      <c r="W26" s="51"/>
      <c r="X26" s="51"/>
      <c r="Y26" s="51"/>
      <c r="Z26" s="51"/>
    </row>
    <row r="27" spans="1:26" ht="62.25" customHeight="1" x14ac:dyDescent="0.3">
      <c r="A27" s="57" t="s">
        <v>139</v>
      </c>
      <c r="B27" s="207" t="s">
        <v>140</v>
      </c>
      <c r="C27" s="208"/>
      <c r="D27" s="209"/>
      <c r="E27" s="57"/>
      <c r="F27" s="57"/>
      <c r="G27" s="57">
        <v>1</v>
      </c>
      <c r="H27" s="57">
        <v>1</v>
      </c>
      <c r="I27" s="58"/>
      <c r="J27" s="51"/>
      <c r="K27" s="51"/>
      <c r="L27" s="51"/>
      <c r="M27" s="51"/>
      <c r="N27" s="51"/>
      <c r="O27" s="51"/>
      <c r="P27" s="51"/>
      <c r="Q27" s="51"/>
      <c r="R27" s="51"/>
      <c r="S27" s="51"/>
      <c r="T27" s="51"/>
      <c r="U27" s="51"/>
      <c r="V27" s="51"/>
      <c r="W27" s="51"/>
      <c r="X27" s="51"/>
      <c r="Y27" s="51"/>
      <c r="Z27" s="51"/>
    </row>
    <row r="28" spans="1:26" ht="46.5" customHeight="1" x14ac:dyDescent="0.3">
      <c r="A28" s="55" t="s">
        <v>141</v>
      </c>
      <c r="B28" s="210" t="s">
        <v>142</v>
      </c>
      <c r="C28" s="208"/>
      <c r="D28" s="209"/>
      <c r="E28" s="55"/>
      <c r="F28" s="55"/>
      <c r="G28" s="55">
        <v>1</v>
      </c>
      <c r="H28" s="55">
        <v>1</v>
      </c>
      <c r="I28" s="56"/>
      <c r="J28" s="51"/>
      <c r="K28" s="51"/>
      <c r="L28" s="51"/>
      <c r="M28" s="51"/>
      <c r="N28" s="51"/>
      <c r="O28" s="51"/>
      <c r="P28" s="51"/>
      <c r="Q28" s="51"/>
      <c r="R28" s="51"/>
      <c r="S28" s="51"/>
      <c r="T28" s="51"/>
      <c r="U28" s="51"/>
      <c r="V28" s="51"/>
      <c r="W28" s="51"/>
      <c r="X28" s="51"/>
      <c r="Y28" s="51"/>
      <c r="Z28" s="51"/>
    </row>
    <row r="29" spans="1:26" ht="62.25" customHeight="1" x14ac:dyDescent="0.3">
      <c r="A29" s="57" t="s">
        <v>143</v>
      </c>
      <c r="B29" s="207" t="s">
        <v>144</v>
      </c>
      <c r="C29" s="208"/>
      <c r="D29" s="209"/>
      <c r="E29" s="57"/>
      <c r="F29" s="57"/>
      <c r="G29" s="57">
        <v>1</v>
      </c>
      <c r="H29" s="57">
        <v>1</v>
      </c>
      <c r="I29" s="58"/>
      <c r="J29" s="51"/>
      <c r="K29" s="51"/>
      <c r="L29" s="51"/>
      <c r="M29" s="51"/>
      <c r="N29" s="51"/>
      <c r="O29" s="51"/>
      <c r="P29" s="51"/>
      <c r="Q29" s="51"/>
      <c r="R29" s="51"/>
      <c r="S29" s="51"/>
      <c r="T29" s="51"/>
      <c r="U29" s="51"/>
      <c r="V29" s="51"/>
      <c r="W29" s="51"/>
      <c r="X29" s="51"/>
      <c r="Y29" s="51"/>
      <c r="Z29" s="51"/>
    </row>
    <row r="30" spans="1:26" ht="43.5" customHeight="1" x14ac:dyDescent="0.3">
      <c r="A30" s="55" t="s">
        <v>145</v>
      </c>
      <c r="B30" s="210" t="s">
        <v>146</v>
      </c>
      <c r="C30" s="208"/>
      <c r="D30" s="209"/>
      <c r="E30" s="55"/>
      <c r="F30" s="55"/>
      <c r="G30" s="55">
        <v>1</v>
      </c>
      <c r="H30" s="55">
        <v>1</v>
      </c>
      <c r="I30" s="56"/>
      <c r="J30" s="51"/>
      <c r="K30" s="51"/>
      <c r="L30" s="51"/>
      <c r="M30" s="51"/>
      <c r="N30" s="51"/>
      <c r="O30" s="51"/>
      <c r="P30" s="51"/>
      <c r="Q30" s="51"/>
      <c r="R30" s="51"/>
      <c r="S30" s="51"/>
      <c r="T30" s="51"/>
      <c r="U30" s="51"/>
      <c r="V30" s="51"/>
      <c r="W30" s="51"/>
      <c r="X30" s="51"/>
      <c r="Y30" s="51"/>
      <c r="Z30" s="51"/>
    </row>
    <row r="31" spans="1:26" ht="31.5" customHeight="1" x14ac:dyDescent="0.3">
      <c r="A31" s="52"/>
      <c r="B31" s="212" t="s">
        <v>147</v>
      </c>
      <c r="C31" s="208"/>
      <c r="D31" s="209"/>
      <c r="E31" s="53"/>
      <c r="F31" s="53"/>
      <c r="G31" s="54">
        <f t="shared" ref="G31:H31" si="2">SUM(G32:G35)</f>
        <v>8</v>
      </c>
      <c r="H31" s="54">
        <f t="shared" si="2"/>
        <v>8</v>
      </c>
      <c r="I31" s="52"/>
      <c r="J31" s="51"/>
      <c r="K31" s="51"/>
      <c r="L31" s="51"/>
      <c r="M31" s="51"/>
      <c r="N31" s="51"/>
      <c r="O31" s="51"/>
      <c r="P31" s="51"/>
      <c r="Q31" s="51"/>
      <c r="R31" s="51"/>
      <c r="S31" s="51"/>
      <c r="T31" s="51"/>
      <c r="U31" s="51"/>
      <c r="V31" s="51"/>
      <c r="W31" s="51"/>
      <c r="X31" s="51"/>
      <c r="Y31" s="51"/>
      <c r="Z31" s="51"/>
    </row>
    <row r="32" spans="1:26" ht="31.5" customHeight="1" x14ac:dyDescent="0.3">
      <c r="A32" s="57" t="s">
        <v>148</v>
      </c>
      <c r="B32" s="207" t="s">
        <v>149</v>
      </c>
      <c r="C32" s="208"/>
      <c r="D32" s="209"/>
      <c r="E32" s="57"/>
      <c r="F32" s="57"/>
      <c r="G32" s="57">
        <v>2</v>
      </c>
      <c r="H32" s="57">
        <v>2</v>
      </c>
      <c r="I32" s="58"/>
      <c r="J32" s="51"/>
      <c r="K32" s="51"/>
      <c r="L32" s="51"/>
      <c r="M32" s="51"/>
      <c r="N32" s="51"/>
      <c r="O32" s="51"/>
      <c r="P32" s="51"/>
      <c r="Q32" s="51"/>
      <c r="R32" s="51"/>
      <c r="S32" s="51"/>
      <c r="T32" s="51"/>
      <c r="U32" s="51"/>
      <c r="V32" s="51"/>
      <c r="W32" s="51"/>
      <c r="X32" s="51"/>
      <c r="Y32" s="51"/>
      <c r="Z32" s="51"/>
    </row>
    <row r="33" spans="1:26" ht="31.5" customHeight="1" x14ac:dyDescent="0.3">
      <c r="A33" s="55" t="s">
        <v>150</v>
      </c>
      <c r="B33" s="210" t="s">
        <v>151</v>
      </c>
      <c r="C33" s="208"/>
      <c r="D33" s="209"/>
      <c r="E33" s="55"/>
      <c r="F33" s="55"/>
      <c r="G33" s="55">
        <v>2</v>
      </c>
      <c r="H33" s="55">
        <v>2</v>
      </c>
      <c r="I33" s="56"/>
      <c r="J33" s="51"/>
      <c r="K33" s="51"/>
      <c r="L33" s="51"/>
      <c r="M33" s="51"/>
      <c r="N33" s="51"/>
      <c r="O33" s="51"/>
      <c r="P33" s="51"/>
      <c r="Q33" s="51"/>
      <c r="R33" s="51"/>
      <c r="S33" s="51"/>
      <c r="T33" s="51"/>
      <c r="U33" s="51"/>
      <c r="V33" s="51"/>
      <c r="W33" s="51"/>
      <c r="X33" s="51"/>
      <c r="Y33" s="51"/>
      <c r="Z33" s="51"/>
    </row>
    <row r="34" spans="1:26" ht="31.5" customHeight="1" x14ac:dyDescent="0.3">
      <c r="A34" s="57" t="s">
        <v>152</v>
      </c>
      <c r="B34" s="207" t="s">
        <v>153</v>
      </c>
      <c r="C34" s="208"/>
      <c r="D34" s="209"/>
      <c r="E34" s="57"/>
      <c r="F34" s="57"/>
      <c r="G34" s="57">
        <v>2</v>
      </c>
      <c r="H34" s="57">
        <v>2</v>
      </c>
      <c r="I34" s="58"/>
      <c r="J34" s="51"/>
      <c r="K34" s="51"/>
      <c r="L34" s="51"/>
      <c r="M34" s="51"/>
      <c r="N34" s="51"/>
      <c r="O34" s="51"/>
      <c r="P34" s="51"/>
      <c r="Q34" s="51"/>
      <c r="R34" s="51"/>
      <c r="S34" s="51"/>
      <c r="T34" s="51"/>
      <c r="U34" s="51"/>
      <c r="V34" s="51"/>
      <c r="W34" s="51"/>
      <c r="X34" s="51"/>
      <c r="Y34" s="51"/>
      <c r="Z34" s="51"/>
    </row>
    <row r="35" spans="1:26" ht="31.5" customHeight="1" x14ac:dyDescent="0.3">
      <c r="A35" s="55" t="s">
        <v>154</v>
      </c>
      <c r="B35" s="210" t="s">
        <v>155</v>
      </c>
      <c r="C35" s="208"/>
      <c r="D35" s="209"/>
      <c r="E35" s="55"/>
      <c r="F35" s="55"/>
      <c r="G35" s="55">
        <v>2</v>
      </c>
      <c r="H35" s="55">
        <v>2</v>
      </c>
      <c r="I35" s="56"/>
      <c r="J35" s="51"/>
      <c r="K35" s="51"/>
      <c r="L35" s="51"/>
      <c r="M35" s="51"/>
      <c r="N35" s="51"/>
      <c r="O35" s="51"/>
      <c r="P35" s="51"/>
      <c r="Q35" s="51"/>
      <c r="R35" s="51"/>
      <c r="S35" s="51"/>
      <c r="T35" s="51"/>
      <c r="U35" s="51"/>
      <c r="V35" s="51"/>
      <c r="W35" s="51"/>
      <c r="X35" s="51"/>
      <c r="Y35" s="51"/>
      <c r="Z35" s="51"/>
    </row>
    <row r="36" spans="1:26" ht="22.5" customHeight="1" x14ac:dyDescent="0.3">
      <c r="A36" s="227" t="s">
        <v>156</v>
      </c>
      <c r="B36" s="208"/>
      <c r="C36" s="208"/>
      <c r="D36" s="208"/>
      <c r="E36" s="208"/>
      <c r="F36" s="209"/>
      <c r="G36" s="59">
        <f t="shared" ref="G36:H36" si="3">SUM(G31,G26,G16)</f>
        <v>30</v>
      </c>
      <c r="H36" s="59">
        <f t="shared" si="3"/>
        <v>30</v>
      </c>
      <c r="I36" s="60"/>
      <c r="J36" s="51"/>
      <c r="K36" s="51"/>
      <c r="L36" s="51"/>
      <c r="M36" s="51"/>
      <c r="N36" s="51"/>
      <c r="O36" s="51"/>
      <c r="P36" s="51"/>
      <c r="Q36" s="51"/>
      <c r="R36" s="51"/>
      <c r="S36" s="51"/>
      <c r="T36" s="51"/>
      <c r="U36" s="51"/>
      <c r="V36" s="51"/>
      <c r="W36" s="51"/>
      <c r="X36" s="51"/>
      <c r="Y36" s="51"/>
      <c r="Z36" s="51"/>
    </row>
    <row r="37" spans="1:26" ht="56.25" customHeight="1" x14ac:dyDescent="0.3">
      <c r="A37" s="50" t="s">
        <v>157</v>
      </c>
      <c r="B37" s="221" t="s">
        <v>158</v>
      </c>
      <c r="C37" s="208"/>
      <c r="D37" s="208"/>
      <c r="E37" s="208"/>
      <c r="F37" s="228"/>
      <c r="G37" s="50" t="s">
        <v>116</v>
      </c>
      <c r="H37" s="50" t="s">
        <v>159</v>
      </c>
      <c r="I37" s="60"/>
      <c r="J37" s="51"/>
      <c r="K37" s="51"/>
      <c r="L37" s="51"/>
      <c r="M37" s="51"/>
      <c r="N37" s="51"/>
      <c r="O37" s="51"/>
      <c r="P37" s="51"/>
      <c r="Q37" s="51"/>
      <c r="R37" s="51"/>
      <c r="S37" s="51"/>
      <c r="T37" s="51"/>
      <c r="U37" s="51"/>
      <c r="V37" s="51"/>
      <c r="W37" s="51"/>
      <c r="X37" s="51"/>
      <c r="Y37" s="51"/>
      <c r="Z37" s="51"/>
    </row>
    <row r="38" spans="1:26" ht="14.25" hidden="1" customHeight="1" x14ac:dyDescent="0.3">
      <c r="A38" s="50" t="s">
        <v>1</v>
      </c>
      <c r="B38" s="211" t="s">
        <v>113</v>
      </c>
      <c r="C38" s="209"/>
      <c r="D38" s="50" t="s">
        <v>160</v>
      </c>
      <c r="E38" s="50" t="s">
        <v>161</v>
      </c>
      <c r="F38" s="50" t="s">
        <v>162</v>
      </c>
      <c r="G38" s="50" t="s">
        <v>116</v>
      </c>
      <c r="H38" s="50" t="s">
        <v>163</v>
      </c>
      <c r="I38" s="50" t="s">
        <v>118</v>
      </c>
      <c r="J38" s="51"/>
      <c r="K38" s="51"/>
      <c r="L38" s="51"/>
      <c r="M38" s="51"/>
      <c r="N38" s="51"/>
      <c r="O38" s="51"/>
      <c r="P38" s="51"/>
      <c r="Q38" s="51"/>
      <c r="R38" s="51"/>
      <c r="S38" s="51"/>
      <c r="T38" s="51"/>
      <c r="U38" s="51"/>
      <c r="V38" s="51"/>
      <c r="W38" s="51"/>
      <c r="X38" s="51"/>
      <c r="Y38" s="51"/>
      <c r="Z38" s="51"/>
    </row>
    <row r="39" spans="1:26" ht="153.75" hidden="1" customHeight="1" x14ac:dyDescent="0.3">
      <c r="A39" s="55">
        <v>1</v>
      </c>
      <c r="B39" s="229" t="s">
        <v>164</v>
      </c>
      <c r="C39" s="209"/>
      <c r="D39" s="56"/>
      <c r="E39" s="61"/>
      <c r="F39" s="62"/>
      <c r="G39" s="63">
        <v>10</v>
      </c>
      <c r="H39" s="56">
        <f t="shared" ref="H39:H44" si="4">F39*G39</f>
        <v>0</v>
      </c>
      <c r="I39" s="64"/>
      <c r="J39" s="51"/>
      <c r="K39" s="51"/>
      <c r="L39" s="51"/>
      <c r="M39" s="51"/>
      <c r="N39" s="51"/>
      <c r="O39" s="51"/>
      <c r="P39" s="51"/>
      <c r="Q39" s="51"/>
      <c r="R39" s="51"/>
      <c r="S39" s="51"/>
      <c r="T39" s="51"/>
      <c r="U39" s="51"/>
      <c r="V39" s="51"/>
      <c r="W39" s="51"/>
      <c r="X39" s="51"/>
      <c r="Y39" s="51"/>
      <c r="Z39" s="51"/>
    </row>
    <row r="40" spans="1:26" ht="237" hidden="1" customHeight="1" x14ac:dyDescent="0.3">
      <c r="A40" s="57">
        <v>2</v>
      </c>
      <c r="B40" s="225" t="s">
        <v>165</v>
      </c>
      <c r="C40" s="209"/>
      <c r="D40" s="58"/>
      <c r="E40" s="65"/>
      <c r="F40" s="62"/>
      <c r="G40" s="66">
        <v>15</v>
      </c>
      <c r="H40" s="56">
        <f t="shared" si="4"/>
        <v>0</v>
      </c>
      <c r="I40" s="67"/>
      <c r="J40" s="51"/>
      <c r="K40" s="51"/>
      <c r="L40" s="51"/>
      <c r="M40" s="51"/>
      <c r="N40" s="51"/>
      <c r="O40" s="51"/>
      <c r="P40" s="51"/>
      <c r="Q40" s="51"/>
      <c r="R40" s="51"/>
      <c r="S40" s="51"/>
      <c r="T40" s="51"/>
      <c r="U40" s="51"/>
      <c r="V40" s="51"/>
      <c r="W40" s="51"/>
      <c r="X40" s="51"/>
      <c r="Y40" s="51"/>
      <c r="Z40" s="51"/>
    </row>
    <row r="41" spans="1:26" ht="153" hidden="1" customHeight="1" x14ac:dyDescent="0.3">
      <c r="A41" s="55">
        <v>3</v>
      </c>
      <c r="B41" s="226" t="s">
        <v>166</v>
      </c>
      <c r="C41" s="209"/>
      <c r="D41" s="56"/>
      <c r="E41" s="61"/>
      <c r="F41" s="62"/>
      <c r="G41" s="68">
        <v>10</v>
      </c>
      <c r="H41" s="56">
        <f t="shared" si="4"/>
        <v>0</v>
      </c>
      <c r="I41" s="64"/>
      <c r="J41" s="51"/>
      <c r="K41" s="51"/>
      <c r="L41" s="51"/>
      <c r="M41" s="51"/>
      <c r="N41" s="51"/>
      <c r="O41" s="51"/>
      <c r="P41" s="51"/>
      <c r="Q41" s="51"/>
      <c r="R41" s="51"/>
      <c r="S41" s="51"/>
      <c r="T41" s="51"/>
      <c r="U41" s="51"/>
      <c r="V41" s="51"/>
      <c r="W41" s="51"/>
      <c r="X41" s="51"/>
      <c r="Y41" s="51"/>
      <c r="Z41" s="51"/>
    </row>
    <row r="42" spans="1:26" ht="397.5" hidden="1" customHeight="1" x14ac:dyDescent="0.3">
      <c r="A42" s="57">
        <v>4</v>
      </c>
      <c r="B42" s="225" t="s">
        <v>167</v>
      </c>
      <c r="C42" s="209"/>
      <c r="D42" s="58"/>
      <c r="E42" s="65"/>
      <c r="F42" s="62"/>
      <c r="G42" s="69">
        <v>20</v>
      </c>
      <c r="H42" s="56">
        <f t="shared" si="4"/>
        <v>0</v>
      </c>
      <c r="I42" s="67"/>
      <c r="J42" s="51"/>
      <c r="K42" s="51"/>
      <c r="L42" s="51"/>
      <c r="M42" s="51"/>
      <c r="N42" s="51"/>
      <c r="O42" s="51"/>
      <c r="P42" s="51"/>
      <c r="Q42" s="51"/>
      <c r="R42" s="51"/>
      <c r="S42" s="51"/>
      <c r="T42" s="51"/>
      <c r="U42" s="51"/>
      <c r="V42" s="51"/>
      <c r="W42" s="51"/>
      <c r="X42" s="51"/>
      <c r="Y42" s="51"/>
      <c r="Z42" s="51"/>
    </row>
    <row r="43" spans="1:26" ht="126" hidden="1" customHeight="1" x14ac:dyDescent="0.3">
      <c r="A43" s="55">
        <v>5</v>
      </c>
      <c r="B43" s="229" t="s">
        <v>168</v>
      </c>
      <c r="C43" s="209"/>
      <c r="D43" s="56"/>
      <c r="E43" s="61"/>
      <c r="F43" s="62"/>
      <c r="G43" s="68">
        <v>10</v>
      </c>
      <c r="H43" s="56">
        <f t="shared" si="4"/>
        <v>0</v>
      </c>
      <c r="I43" s="70"/>
      <c r="J43" s="51"/>
      <c r="K43" s="51"/>
      <c r="L43" s="51"/>
      <c r="M43" s="51"/>
      <c r="N43" s="51"/>
      <c r="O43" s="51"/>
      <c r="P43" s="51"/>
      <c r="Q43" s="51"/>
      <c r="R43" s="51"/>
      <c r="S43" s="51"/>
      <c r="T43" s="51"/>
      <c r="U43" s="51"/>
      <c r="V43" s="51"/>
      <c r="W43" s="51"/>
      <c r="X43" s="51"/>
      <c r="Y43" s="51"/>
      <c r="Z43" s="51"/>
    </row>
    <row r="44" spans="1:26" ht="119.25" hidden="1" customHeight="1" x14ac:dyDescent="0.3">
      <c r="A44" s="57">
        <v>6</v>
      </c>
      <c r="B44" s="225" t="s">
        <v>169</v>
      </c>
      <c r="C44" s="209"/>
      <c r="D44" s="58"/>
      <c r="E44" s="65"/>
      <c r="F44" s="62"/>
      <c r="G44" s="66">
        <v>5</v>
      </c>
      <c r="H44" s="56">
        <f t="shared" si="4"/>
        <v>0</v>
      </c>
      <c r="I44" s="71"/>
      <c r="J44" s="51"/>
      <c r="K44" s="51"/>
      <c r="L44" s="51"/>
      <c r="M44" s="51"/>
      <c r="N44" s="51"/>
      <c r="O44" s="51"/>
      <c r="P44" s="51"/>
      <c r="Q44" s="51"/>
      <c r="R44" s="51"/>
      <c r="S44" s="51"/>
      <c r="T44" s="51"/>
      <c r="U44" s="51"/>
      <c r="V44" s="51"/>
      <c r="W44" s="51"/>
      <c r="X44" s="51"/>
      <c r="Y44" s="51"/>
      <c r="Z44" s="51"/>
    </row>
    <row r="45" spans="1:26" ht="14.25" customHeight="1" x14ac:dyDescent="0.3">
      <c r="A45" s="227" t="s">
        <v>170</v>
      </c>
      <c r="B45" s="208"/>
      <c r="C45" s="208"/>
      <c r="D45" s="208"/>
      <c r="E45" s="208"/>
      <c r="F45" s="209"/>
      <c r="G45" s="59">
        <f>SUM(G39,G40,G41,G42,G43,G44)</f>
        <v>70</v>
      </c>
      <c r="H45" s="72" t="e">
        <f>'BẢNG TÍNH ĐIỂM KPI (LĐB)'!C62</f>
        <v>#REF!</v>
      </c>
      <c r="I45" s="73"/>
      <c r="J45" s="51"/>
      <c r="K45" s="51"/>
      <c r="L45" s="51"/>
      <c r="M45" s="51"/>
      <c r="N45" s="51"/>
      <c r="O45" s="51"/>
      <c r="P45" s="51"/>
      <c r="Q45" s="51"/>
      <c r="R45" s="51"/>
      <c r="S45" s="51"/>
      <c r="T45" s="51"/>
      <c r="U45" s="51"/>
      <c r="V45" s="51"/>
      <c r="W45" s="51"/>
      <c r="X45" s="51"/>
      <c r="Y45" s="51"/>
      <c r="Z45" s="51"/>
    </row>
    <row r="46" spans="1:26" ht="14.25" customHeight="1" x14ac:dyDescent="0.3">
      <c r="A46" s="230" t="s">
        <v>171</v>
      </c>
      <c r="B46" s="208"/>
      <c r="C46" s="208"/>
      <c r="D46" s="208"/>
      <c r="E46" s="208"/>
      <c r="F46" s="209"/>
      <c r="G46" s="74">
        <f t="shared" ref="G46:H46" si="5">G45+G36</f>
        <v>100</v>
      </c>
      <c r="H46" s="75" t="e">
        <f t="shared" si="5"/>
        <v>#REF!</v>
      </c>
      <c r="I46" s="76"/>
      <c r="J46" s="51"/>
      <c r="K46" s="51"/>
      <c r="L46" s="51"/>
      <c r="M46" s="51"/>
      <c r="N46" s="51"/>
      <c r="O46" s="51"/>
      <c r="P46" s="51"/>
      <c r="Q46" s="51"/>
      <c r="R46" s="51"/>
      <c r="S46" s="51"/>
      <c r="T46" s="51"/>
      <c r="U46" s="51"/>
      <c r="V46" s="51"/>
      <c r="W46" s="51"/>
      <c r="X46" s="51"/>
      <c r="Y46" s="51"/>
      <c r="Z46" s="51"/>
    </row>
    <row r="47" spans="1:26" ht="14.25" customHeight="1" x14ac:dyDescent="0.35">
      <c r="A47" s="77"/>
      <c r="B47" s="78" t="s">
        <v>172</v>
      </c>
      <c r="C47" s="79" t="e">
        <f>IF(H46&gt;=90,"Đủ điều kiện Hoàn thành xuất sắc nhiệm vụ",IF(H46&gt;=80," Đủ điều kiện Hoàn thành tốt nhiệm vụ",IF(H46&gt;=60,"Hoàn thành nhiệm vụ","Không hoàn thành nhiệm vụ")))</f>
        <v>#REF!</v>
      </c>
      <c r="D47" s="80"/>
      <c r="E47" s="80"/>
      <c r="F47" s="80"/>
      <c r="G47" s="80"/>
      <c r="H47" s="80"/>
      <c r="I47" s="80"/>
      <c r="J47" s="51"/>
      <c r="K47" s="51"/>
      <c r="L47" s="51"/>
      <c r="M47" s="51"/>
      <c r="N47" s="51"/>
      <c r="O47" s="51"/>
      <c r="P47" s="51"/>
      <c r="Q47" s="51"/>
      <c r="R47" s="51"/>
      <c r="S47" s="51"/>
      <c r="T47" s="51"/>
      <c r="U47" s="51"/>
      <c r="V47" s="51"/>
      <c r="W47" s="51"/>
      <c r="X47" s="51"/>
      <c r="Y47" s="51"/>
      <c r="Z47" s="51"/>
    </row>
    <row r="48" spans="1:26" ht="36" customHeight="1" x14ac:dyDescent="0.3">
      <c r="A48" s="231" t="s">
        <v>173</v>
      </c>
      <c r="B48" s="194"/>
      <c r="C48" s="194"/>
      <c r="D48" s="194"/>
      <c r="E48" s="194"/>
      <c r="F48" s="194"/>
      <c r="G48" s="194"/>
      <c r="H48" s="194"/>
      <c r="I48" s="194"/>
      <c r="J48" s="51"/>
      <c r="K48" s="51"/>
      <c r="L48" s="51"/>
      <c r="M48" s="51"/>
      <c r="N48" s="51"/>
      <c r="O48" s="51"/>
      <c r="P48" s="51"/>
      <c r="Q48" s="51"/>
      <c r="R48" s="51"/>
      <c r="S48" s="51"/>
      <c r="T48" s="51"/>
      <c r="U48" s="51"/>
      <c r="V48" s="51"/>
      <c r="W48" s="51"/>
      <c r="X48" s="51"/>
      <c r="Y48" s="51"/>
      <c r="Z48" s="51"/>
    </row>
    <row r="49" spans="1:26" ht="14.25" customHeight="1" x14ac:dyDescent="0.3">
      <c r="A49" s="77"/>
      <c r="B49" s="81"/>
      <c r="C49" s="80"/>
      <c r="D49" s="82"/>
      <c r="E49" s="80"/>
      <c r="F49" s="213" t="s">
        <v>174</v>
      </c>
      <c r="G49" s="194"/>
      <c r="H49" s="194"/>
      <c r="I49" s="194"/>
      <c r="J49" s="51"/>
      <c r="K49" s="51"/>
      <c r="L49" s="51"/>
      <c r="M49" s="51"/>
      <c r="N49" s="51"/>
      <c r="O49" s="51"/>
      <c r="P49" s="51"/>
      <c r="Q49" s="51"/>
      <c r="R49" s="51"/>
      <c r="S49" s="51"/>
      <c r="T49" s="51"/>
      <c r="U49" s="51"/>
      <c r="V49" s="51"/>
      <c r="W49" s="51"/>
      <c r="X49" s="51"/>
      <c r="Y49" s="51"/>
      <c r="Z49" s="51"/>
    </row>
    <row r="50" spans="1:26" ht="14.25" customHeight="1" x14ac:dyDescent="0.3">
      <c r="A50" s="77"/>
      <c r="B50" s="81"/>
      <c r="C50" s="80"/>
      <c r="D50" s="82"/>
      <c r="E50" s="80"/>
      <c r="F50" s="48"/>
      <c r="G50" s="80"/>
      <c r="H50" s="80"/>
      <c r="I50" s="80"/>
      <c r="J50" s="51"/>
      <c r="K50" s="51"/>
      <c r="L50" s="51"/>
      <c r="M50" s="51"/>
      <c r="N50" s="51"/>
      <c r="O50" s="51"/>
      <c r="P50" s="51"/>
      <c r="Q50" s="51"/>
      <c r="R50" s="51"/>
      <c r="S50" s="51"/>
      <c r="T50" s="51"/>
      <c r="U50" s="51"/>
      <c r="V50" s="51"/>
      <c r="W50" s="51"/>
      <c r="X50" s="51"/>
      <c r="Y50" s="51"/>
      <c r="Z50" s="51"/>
    </row>
    <row r="51" spans="1:26" ht="14.25" customHeight="1" x14ac:dyDescent="0.3">
      <c r="A51" s="77"/>
      <c r="B51" s="81"/>
      <c r="C51" s="80"/>
      <c r="D51" s="82"/>
      <c r="E51" s="80"/>
      <c r="F51" s="48"/>
      <c r="G51" s="80"/>
      <c r="H51" s="80"/>
      <c r="I51" s="80"/>
      <c r="J51" s="51"/>
      <c r="K51" s="51"/>
      <c r="L51" s="51"/>
      <c r="M51" s="51"/>
      <c r="N51" s="51"/>
      <c r="O51" s="51"/>
      <c r="P51" s="51"/>
      <c r="Q51" s="51"/>
      <c r="R51" s="51"/>
      <c r="S51" s="51"/>
      <c r="T51" s="51"/>
      <c r="U51" s="51"/>
      <c r="V51" s="51"/>
      <c r="W51" s="51"/>
      <c r="X51" s="51"/>
      <c r="Y51" s="51"/>
      <c r="Z51" s="51"/>
    </row>
    <row r="52" spans="1:26" ht="14.25" customHeight="1" x14ac:dyDescent="0.3">
      <c r="A52" s="77"/>
      <c r="B52" s="80"/>
      <c r="C52" s="80"/>
      <c r="D52" s="82"/>
      <c r="E52" s="80"/>
      <c r="F52" s="218"/>
      <c r="G52" s="194"/>
      <c r="H52" s="194"/>
      <c r="I52" s="194"/>
      <c r="J52" s="51"/>
      <c r="K52" s="51"/>
      <c r="L52" s="51"/>
      <c r="M52" s="51"/>
      <c r="N52" s="51"/>
      <c r="O52" s="51"/>
      <c r="P52" s="51"/>
      <c r="Q52" s="51"/>
      <c r="R52" s="51"/>
      <c r="S52" s="51"/>
      <c r="T52" s="51"/>
      <c r="U52" s="51"/>
      <c r="V52" s="51"/>
      <c r="W52" s="51"/>
      <c r="X52" s="51"/>
      <c r="Y52" s="51"/>
      <c r="Z52" s="51"/>
    </row>
    <row r="53" spans="1:26" ht="14.25" customHeight="1" x14ac:dyDescent="0.3">
      <c r="A53" s="77"/>
      <c r="B53" s="80"/>
      <c r="C53" s="80"/>
      <c r="D53" s="82"/>
      <c r="E53" s="80"/>
      <c r="F53" s="232" t="s">
        <v>175</v>
      </c>
      <c r="G53" s="194"/>
      <c r="H53" s="194"/>
      <c r="I53" s="194"/>
      <c r="J53" s="51"/>
      <c r="K53" s="51"/>
      <c r="L53" s="51"/>
      <c r="M53" s="51"/>
      <c r="N53" s="51"/>
      <c r="O53" s="51"/>
      <c r="P53" s="51"/>
      <c r="Q53" s="51"/>
      <c r="R53" s="51"/>
      <c r="S53" s="51"/>
      <c r="T53" s="51"/>
      <c r="U53" s="51"/>
      <c r="V53" s="51"/>
      <c r="W53" s="51"/>
      <c r="X53" s="51"/>
      <c r="Y53" s="51"/>
      <c r="Z53" s="51"/>
    </row>
    <row r="54" spans="1:26" ht="14.25" customHeight="1" x14ac:dyDescent="0.3">
      <c r="A54" s="77"/>
      <c r="B54" s="83" t="s">
        <v>176</v>
      </c>
      <c r="C54" s="80"/>
      <c r="D54" s="82"/>
      <c r="E54" s="80"/>
      <c r="F54" s="80"/>
      <c r="G54" s="80"/>
      <c r="H54" s="80"/>
      <c r="I54" s="80"/>
      <c r="J54" s="51"/>
      <c r="K54" s="51"/>
      <c r="L54" s="51"/>
      <c r="M54" s="51"/>
      <c r="N54" s="51"/>
      <c r="O54" s="51"/>
      <c r="P54" s="51"/>
      <c r="Q54" s="51"/>
      <c r="R54" s="51"/>
      <c r="S54" s="51"/>
      <c r="T54" s="51"/>
      <c r="U54" s="51"/>
      <c r="V54" s="51"/>
      <c r="W54" s="51"/>
      <c r="X54" s="51"/>
      <c r="Y54" s="51"/>
      <c r="Z54" s="51"/>
    </row>
    <row r="55" spans="1:26" ht="14.25" customHeight="1" x14ac:dyDescent="0.3">
      <c r="A55" s="77"/>
      <c r="B55" s="233" t="s">
        <v>177</v>
      </c>
      <c r="C55" s="194"/>
      <c r="D55" s="194"/>
      <c r="E55" s="194"/>
      <c r="F55" s="194"/>
      <c r="G55" s="194"/>
      <c r="H55" s="194"/>
      <c r="I55" s="194"/>
      <c r="J55" s="51"/>
      <c r="K55" s="51"/>
      <c r="L55" s="51"/>
      <c r="M55" s="51"/>
      <c r="N55" s="51"/>
      <c r="O55" s="51"/>
      <c r="P55" s="51"/>
      <c r="Q55" s="51"/>
      <c r="R55" s="51"/>
      <c r="S55" s="51"/>
      <c r="T55" s="51"/>
      <c r="U55" s="51"/>
      <c r="V55" s="51"/>
      <c r="W55" s="51"/>
      <c r="X55" s="51"/>
      <c r="Y55" s="51"/>
      <c r="Z55" s="51"/>
    </row>
    <row r="56" spans="1:26" ht="14.25" customHeight="1" x14ac:dyDescent="0.3">
      <c r="A56" s="77"/>
      <c r="B56" s="233" t="s">
        <v>178</v>
      </c>
      <c r="C56" s="194"/>
      <c r="D56" s="194"/>
      <c r="E56" s="194"/>
      <c r="F56" s="194"/>
      <c r="G56" s="194"/>
      <c r="H56" s="194"/>
      <c r="I56" s="194"/>
      <c r="J56" s="51"/>
      <c r="K56" s="51"/>
      <c r="L56" s="51"/>
      <c r="M56" s="51"/>
      <c r="N56" s="51"/>
      <c r="O56" s="51"/>
      <c r="P56" s="51"/>
      <c r="Q56" s="51"/>
      <c r="R56" s="51"/>
      <c r="S56" s="51"/>
      <c r="T56" s="51"/>
      <c r="U56" s="51"/>
      <c r="V56" s="51"/>
      <c r="W56" s="51"/>
      <c r="X56" s="51"/>
      <c r="Y56" s="51"/>
      <c r="Z56" s="51"/>
    </row>
    <row r="57" spans="1:26" ht="14.25" customHeight="1" x14ac:dyDescent="0.3">
      <c r="A57" s="77"/>
      <c r="B57" s="233" t="s">
        <v>179</v>
      </c>
      <c r="C57" s="194"/>
      <c r="D57" s="194"/>
      <c r="E57" s="194"/>
      <c r="F57" s="194"/>
      <c r="G57" s="194"/>
      <c r="H57" s="194"/>
      <c r="I57" s="194"/>
      <c r="J57" s="51"/>
      <c r="K57" s="51"/>
      <c r="L57" s="51"/>
      <c r="M57" s="51"/>
      <c r="N57" s="51"/>
      <c r="O57" s="51"/>
      <c r="P57" s="51"/>
      <c r="Q57" s="51"/>
      <c r="R57" s="51"/>
      <c r="S57" s="51"/>
      <c r="T57" s="51"/>
      <c r="U57" s="51"/>
      <c r="V57" s="51"/>
      <c r="W57" s="51"/>
      <c r="X57" s="51"/>
      <c r="Y57" s="51"/>
      <c r="Z57" s="51"/>
    </row>
    <row r="58" spans="1:26" ht="43.5" customHeight="1" x14ac:dyDescent="0.3">
      <c r="A58" s="77"/>
      <c r="B58" s="81"/>
      <c r="C58" s="80"/>
      <c r="D58" s="216" t="s">
        <v>180</v>
      </c>
      <c r="E58" s="194"/>
      <c r="F58" s="194"/>
      <c r="G58" s="194"/>
      <c r="H58" s="194"/>
      <c r="I58" s="194"/>
      <c r="J58" s="51"/>
      <c r="K58" s="51"/>
      <c r="L58" s="51"/>
      <c r="M58" s="51"/>
      <c r="N58" s="51"/>
      <c r="O58" s="51"/>
      <c r="P58" s="51"/>
      <c r="Q58" s="51"/>
      <c r="R58" s="51"/>
      <c r="S58" s="51"/>
      <c r="T58" s="51"/>
      <c r="U58" s="51"/>
      <c r="V58" s="51"/>
      <c r="W58" s="51"/>
      <c r="X58" s="51"/>
      <c r="Y58" s="51"/>
      <c r="Z58" s="51"/>
    </row>
    <row r="59" spans="1:26" ht="14.25" customHeight="1" x14ac:dyDescent="0.3">
      <c r="A59" s="84"/>
      <c r="B59" s="51"/>
      <c r="C59" s="51"/>
      <c r="D59" s="85"/>
      <c r="E59" s="51"/>
      <c r="F59" s="51"/>
      <c r="G59" s="51"/>
      <c r="H59" s="51"/>
      <c r="I59" s="51"/>
      <c r="J59" s="51"/>
      <c r="K59" s="51"/>
      <c r="L59" s="51"/>
      <c r="M59" s="51"/>
      <c r="N59" s="51"/>
      <c r="O59" s="51"/>
      <c r="P59" s="51"/>
      <c r="Q59" s="51"/>
      <c r="R59" s="51"/>
      <c r="S59" s="51"/>
      <c r="T59" s="51"/>
      <c r="U59" s="51"/>
      <c r="V59" s="51"/>
      <c r="W59" s="51"/>
      <c r="X59" s="51"/>
      <c r="Y59" s="51"/>
      <c r="Z59" s="51"/>
    </row>
    <row r="60" spans="1:26" ht="14.25" customHeight="1" x14ac:dyDescent="0.3">
      <c r="A60" s="84"/>
      <c r="B60" s="51"/>
      <c r="C60" s="51"/>
      <c r="D60" s="85"/>
      <c r="E60" s="51"/>
      <c r="F60" s="51"/>
      <c r="G60" s="51"/>
      <c r="H60" s="51"/>
      <c r="I60" s="51"/>
      <c r="J60" s="51"/>
      <c r="K60" s="51"/>
      <c r="L60" s="51"/>
      <c r="M60" s="51"/>
      <c r="N60" s="51"/>
      <c r="O60" s="51"/>
      <c r="P60" s="51"/>
      <c r="Q60" s="51"/>
      <c r="R60" s="51"/>
      <c r="S60" s="51"/>
      <c r="T60" s="51"/>
      <c r="U60" s="51"/>
      <c r="V60" s="51"/>
      <c r="W60" s="51"/>
      <c r="X60" s="51"/>
      <c r="Y60" s="51"/>
      <c r="Z60" s="51"/>
    </row>
    <row r="61" spans="1:26" ht="14.25" customHeight="1" x14ac:dyDescent="0.3">
      <c r="A61" s="84"/>
      <c r="B61" s="51"/>
      <c r="C61" s="51"/>
      <c r="D61" s="85"/>
      <c r="E61" s="51"/>
      <c r="F61" s="51"/>
      <c r="G61" s="51"/>
      <c r="H61" s="51"/>
      <c r="I61" s="51"/>
      <c r="J61" s="51"/>
      <c r="K61" s="51"/>
      <c r="L61" s="51"/>
      <c r="M61" s="51"/>
      <c r="N61" s="51"/>
      <c r="O61" s="51"/>
      <c r="P61" s="51"/>
      <c r="Q61" s="51"/>
      <c r="R61" s="51"/>
      <c r="S61" s="51"/>
      <c r="T61" s="51"/>
      <c r="U61" s="51"/>
      <c r="V61" s="51"/>
      <c r="W61" s="51"/>
      <c r="X61" s="51"/>
      <c r="Y61" s="51"/>
      <c r="Z61" s="51"/>
    </row>
    <row r="62" spans="1:26" ht="14.25" customHeight="1" x14ac:dyDescent="0.3">
      <c r="A62" s="84"/>
      <c r="B62" s="51"/>
      <c r="C62" s="51"/>
      <c r="D62" s="85"/>
      <c r="E62" s="51"/>
      <c r="F62" s="51"/>
      <c r="G62" s="51"/>
      <c r="H62" s="51"/>
      <c r="I62" s="51"/>
      <c r="J62" s="51"/>
      <c r="K62" s="51"/>
      <c r="L62" s="51"/>
      <c r="M62" s="51"/>
      <c r="N62" s="51"/>
      <c r="O62" s="51"/>
      <c r="P62" s="51"/>
      <c r="Q62" s="51"/>
      <c r="R62" s="51"/>
      <c r="S62" s="51"/>
      <c r="T62" s="51"/>
      <c r="U62" s="51"/>
      <c r="V62" s="51"/>
      <c r="W62" s="51"/>
      <c r="X62" s="51"/>
      <c r="Y62" s="51"/>
      <c r="Z62" s="51"/>
    </row>
    <row r="63" spans="1:26" ht="14.25" customHeight="1" x14ac:dyDescent="0.3">
      <c r="A63" s="84"/>
      <c r="B63" s="51"/>
      <c r="C63" s="51"/>
      <c r="D63" s="85"/>
      <c r="E63" s="51"/>
      <c r="F63" s="51"/>
      <c r="G63" s="51"/>
      <c r="H63" s="51"/>
      <c r="I63" s="51"/>
      <c r="J63" s="51"/>
      <c r="K63" s="51"/>
      <c r="L63" s="51"/>
      <c r="M63" s="51"/>
      <c r="N63" s="51"/>
      <c r="O63" s="51"/>
      <c r="P63" s="51"/>
      <c r="Q63" s="51"/>
      <c r="R63" s="51"/>
      <c r="S63" s="51"/>
      <c r="T63" s="51"/>
      <c r="U63" s="51"/>
      <c r="V63" s="51"/>
      <c r="W63" s="51"/>
      <c r="X63" s="51"/>
      <c r="Y63" s="51"/>
      <c r="Z63" s="51"/>
    </row>
    <row r="64" spans="1:26" ht="14.25" customHeight="1" x14ac:dyDescent="0.3">
      <c r="A64" s="84"/>
      <c r="B64" s="51"/>
      <c r="C64" s="51"/>
      <c r="D64" s="85"/>
      <c r="E64" s="51"/>
      <c r="F64" s="51"/>
      <c r="G64" s="51"/>
      <c r="H64" s="51"/>
      <c r="I64" s="51"/>
      <c r="J64" s="51"/>
      <c r="K64" s="51"/>
      <c r="L64" s="51"/>
      <c r="M64" s="51"/>
      <c r="N64" s="51"/>
      <c r="O64" s="51"/>
      <c r="P64" s="51"/>
      <c r="Q64" s="51"/>
      <c r="R64" s="51"/>
      <c r="S64" s="51"/>
      <c r="T64" s="51"/>
      <c r="U64" s="51"/>
      <c r="V64" s="51"/>
      <c r="W64" s="51"/>
      <c r="X64" s="51"/>
      <c r="Y64" s="51"/>
      <c r="Z64" s="51"/>
    </row>
    <row r="65" spans="1:26" ht="14.25" customHeight="1" x14ac:dyDescent="0.3">
      <c r="A65" s="84"/>
      <c r="B65" s="51"/>
      <c r="C65" s="51"/>
      <c r="D65" s="85"/>
      <c r="E65" s="51"/>
      <c r="F65" s="51"/>
      <c r="G65" s="51"/>
      <c r="H65" s="51"/>
      <c r="I65" s="51"/>
      <c r="J65" s="51"/>
      <c r="K65" s="51"/>
      <c r="L65" s="51"/>
      <c r="M65" s="51"/>
      <c r="N65" s="51"/>
      <c r="O65" s="51"/>
      <c r="P65" s="51"/>
      <c r="Q65" s="51"/>
      <c r="R65" s="51"/>
      <c r="S65" s="51"/>
      <c r="T65" s="51"/>
      <c r="U65" s="51"/>
      <c r="V65" s="51"/>
      <c r="W65" s="51"/>
      <c r="X65" s="51"/>
      <c r="Y65" s="51"/>
      <c r="Z65" s="51"/>
    </row>
    <row r="66" spans="1:26" ht="14.25" customHeight="1" x14ac:dyDescent="0.3">
      <c r="A66" s="84"/>
      <c r="B66" s="51"/>
      <c r="C66" s="51"/>
      <c r="D66" s="85"/>
      <c r="E66" s="51"/>
      <c r="F66" s="51"/>
      <c r="G66" s="51"/>
      <c r="H66" s="51"/>
      <c r="I66" s="51"/>
      <c r="J66" s="51"/>
      <c r="K66" s="51"/>
      <c r="L66" s="51"/>
      <c r="M66" s="51"/>
      <c r="N66" s="51"/>
      <c r="O66" s="51"/>
      <c r="P66" s="51"/>
      <c r="Q66" s="51"/>
      <c r="R66" s="51"/>
      <c r="S66" s="51"/>
      <c r="T66" s="51"/>
      <c r="U66" s="51"/>
      <c r="V66" s="51"/>
      <c r="W66" s="51"/>
      <c r="X66" s="51"/>
      <c r="Y66" s="51"/>
      <c r="Z66" s="51"/>
    </row>
    <row r="67" spans="1:26" ht="14.25" customHeight="1" x14ac:dyDescent="0.3">
      <c r="A67" s="84"/>
      <c r="B67" s="51"/>
      <c r="C67" s="51"/>
      <c r="D67" s="85"/>
      <c r="E67" s="51"/>
      <c r="F67" s="51"/>
      <c r="G67" s="51"/>
      <c r="H67" s="51"/>
      <c r="I67" s="51"/>
      <c r="J67" s="51"/>
      <c r="K67" s="51"/>
      <c r="L67" s="51"/>
      <c r="M67" s="51"/>
      <c r="N67" s="51"/>
      <c r="O67" s="51"/>
      <c r="P67" s="51"/>
      <c r="Q67" s="51"/>
      <c r="R67" s="51"/>
      <c r="S67" s="51"/>
      <c r="T67" s="51"/>
      <c r="U67" s="51"/>
      <c r="V67" s="51"/>
      <c r="W67" s="51"/>
      <c r="X67" s="51"/>
      <c r="Y67" s="51"/>
      <c r="Z67" s="51"/>
    </row>
    <row r="68" spans="1:26" ht="14.25" customHeight="1" x14ac:dyDescent="0.3">
      <c r="A68" s="84"/>
      <c r="B68" s="51"/>
      <c r="C68" s="51"/>
      <c r="D68" s="85"/>
      <c r="E68" s="51"/>
      <c r="F68" s="51"/>
      <c r="G68" s="51"/>
      <c r="H68" s="51"/>
      <c r="I68" s="51"/>
      <c r="J68" s="51"/>
      <c r="K68" s="51"/>
      <c r="L68" s="51"/>
      <c r="M68" s="51"/>
      <c r="N68" s="51"/>
      <c r="O68" s="51"/>
      <c r="P68" s="51"/>
      <c r="Q68" s="51"/>
      <c r="R68" s="51"/>
      <c r="S68" s="51"/>
      <c r="T68" s="51"/>
      <c r="U68" s="51"/>
      <c r="V68" s="51"/>
      <c r="W68" s="51"/>
      <c r="X68" s="51"/>
      <c r="Y68" s="51"/>
      <c r="Z68" s="51"/>
    </row>
    <row r="69" spans="1:26" ht="14.25" customHeight="1" x14ac:dyDescent="0.3">
      <c r="A69" s="84"/>
      <c r="B69" s="51"/>
      <c r="C69" s="51"/>
      <c r="D69" s="85"/>
      <c r="E69" s="51"/>
      <c r="F69" s="51"/>
      <c r="G69" s="51"/>
      <c r="H69" s="51"/>
      <c r="I69" s="51"/>
      <c r="J69" s="51"/>
      <c r="K69" s="51"/>
      <c r="L69" s="51"/>
      <c r="M69" s="51"/>
      <c r="N69" s="51"/>
      <c r="O69" s="51"/>
      <c r="P69" s="51"/>
      <c r="Q69" s="51"/>
      <c r="R69" s="51"/>
      <c r="S69" s="51"/>
      <c r="T69" s="51"/>
      <c r="U69" s="51"/>
      <c r="V69" s="51"/>
      <c r="W69" s="51"/>
      <c r="X69" s="51"/>
      <c r="Y69" s="51"/>
      <c r="Z69" s="51"/>
    </row>
    <row r="70" spans="1:26" ht="14.25" customHeight="1" x14ac:dyDescent="0.3">
      <c r="A70" s="84"/>
      <c r="B70" s="51"/>
      <c r="C70" s="51"/>
      <c r="D70" s="85"/>
      <c r="E70" s="51"/>
      <c r="F70" s="51"/>
      <c r="G70" s="51"/>
      <c r="H70" s="51"/>
      <c r="I70" s="51"/>
      <c r="J70" s="51"/>
      <c r="K70" s="51"/>
      <c r="L70" s="51"/>
      <c r="M70" s="51"/>
      <c r="N70" s="51"/>
      <c r="O70" s="51"/>
      <c r="P70" s="51"/>
      <c r="Q70" s="51"/>
      <c r="R70" s="51"/>
      <c r="S70" s="51"/>
      <c r="T70" s="51"/>
      <c r="U70" s="51"/>
      <c r="V70" s="51"/>
      <c r="W70" s="51"/>
      <c r="X70" s="51"/>
      <c r="Y70" s="51"/>
      <c r="Z70" s="51"/>
    </row>
    <row r="71" spans="1:26" ht="14.25" customHeight="1" x14ac:dyDescent="0.3">
      <c r="A71" s="84"/>
      <c r="B71" s="51"/>
      <c r="C71" s="51"/>
      <c r="D71" s="85"/>
      <c r="E71" s="51"/>
      <c r="F71" s="51"/>
      <c r="G71" s="51"/>
      <c r="H71" s="51"/>
      <c r="I71" s="51"/>
      <c r="J71" s="51"/>
      <c r="K71" s="51"/>
      <c r="L71" s="51"/>
      <c r="M71" s="51"/>
      <c r="N71" s="51"/>
      <c r="O71" s="51"/>
      <c r="P71" s="51"/>
      <c r="Q71" s="51"/>
      <c r="R71" s="51"/>
      <c r="S71" s="51"/>
      <c r="T71" s="51"/>
      <c r="U71" s="51"/>
      <c r="V71" s="51"/>
      <c r="W71" s="51"/>
      <c r="X71" s="51"/>
      <c r="Y71" s="51"/>
      <c r="Z71" s="51"/>
    </row>
    <row r="72" spans="1:26" ht="14.25" customHeight="1" x14ac:dyDescent="0.3">
      <c r="A72" s="84"/>
      <c r="B72" s="51"/>
      <c r="C72" s="51"/>
      <c r="D72" s="85"/>
      <c r="E72" s="51"/>
      <c r="F72" s="51"/>
      <c r="G72" s="51"/>
      <c r="H72" s="51"/>
      <c r="I72" s="51"/>
      <c r="J72" s="51"/>
      <c r="K72" s="51"/>
      <c r="L72" s="51"/>
      <c r="M72" s="51"/>
      <c r="N72" s="51"/>
      <c r="O72" s="51"/>
      <c r="P72" s="51"/>
      <c r="Q72" s="51"/>
      <c r="R72" s="51"/>
      <c r="S72" s="51"/>
      <c r="T72" s="51"/>
      <c r="U72" s="51"/>
      <c r="V72" s="51"/>
      <c r="W72" s="51"/>
      <c r="X72" s="51"/>
      <c r="Y72" s="51"/>
      <c r="Z72" s="51"/>
    </row>
    <row r="73" spans="1:26" ht="14.25" customHeight="1" x14ac:dyDescent="0.3">
      <c r="A73" s="84"/>
      <c r="B73" s="51"/>
      <c r="C73" s="51"/>
      <c r="D73" s="85"/>
      <c r="E73" s="51"/>
      <c r="F73" s="51"/>
      <c r="G73" s="51"/>
      <c r="H73" s="51"/>
      <c r="I73" s="51"/>
      <c r="J73" s="51"/>
      <c r="K73" s="51"/>
      <c r="L73" s="51"/>
      <c r="M73" s="51"/>
      <c r="N73" s="51"/>
      <c r="O73" s="51"/>
      <c r="P73" s="51"/>
      <c r="Q73" s="51"/>
      <c r="R73" s="51"/>
      <c r="S73" s="51"/>
      <c r="T73" s="51"/>
      <c r="U73" s="51"/>
      <c r="V73" s="51"/>
      <c r="W73" s="51"/>
      <c r="X73" s="51"/>
      <c r="Y73" s="51"/>
      <c r="Z73" s="51"/>
    </row>
    <row r="74" spans="1:26" ht="14.25" customHeight="1" x14ac:dyDescent="0.3">
      <c r="A74" s="84"/>
      <c r="B74" s="51"/>
      <c r="C74" s="51"/>
      <c r="D74" s="85"/>
      <c r="E74" s="51"/>
      <c r="F74" s="51"/>
      <c r="G74" s="51"/>
      <c r="H74" s="51"/>
      <c r="I74" s="51"/>
      <c r="J74" s="51"/>
      <c r="K74" s="51"/>
      <c r="L74" s="51"/>
      <c r="M74" s="51"/>
      <c r="N74" s="51"/>
      <c r="O74" s="51"/>
      <c r="P74" s="51"/>
      <c r="Q74" s="51"/>
      <c r="R74" s="51"/>
      <c r="S74" s="51"/>
      <c r="T74" s="51"/>
      <c r="U74" s="51"/>
      <c r="V74" s="51"/>
      <c r="W74" s="51"/>
      <c r="X74" s="51"/>
      <c r="Y74" s="51"/>
      <c r="Z74" s="51"/>
    </row>
    <row r="75" spans="1:26" ht="14.25" customHeight="1" x14ac:dyDescent="0.3">
      <c r="A75" s="84"/>
      <c r="B75" s="51"/>
      <c r="C75" s="51"/>
      <c r="D75" s="85"/>
      <c r="E75" s="51"/>
      <c r="F75" s="51"/>
      <c r="G75" s="51"/>
      <c r="H75" s="51"/>
      <c r="I75" s="51"/>
      <c r="J75" s="51"/>
      <c r="K75" s="51"/>
      <c r="L75" s="51"/>
      <c r="M75" s="51"/>
      <c r="N75" s="51"/>
      <c r="O75" s="51"/>
      <c r="P75" s="51"/>
      <c r="Q75" s="51"/>
      <c r="R75" s="51"/>
      <c r="S75" s="51"/>
      <c r="T75" s="51"/>
      <c r="U75" s="51"/>
      <c r="V75" s="51"/>
      <c r="W75" s="51"/>
      <c r="X75" s="51"/>
      <c r="Y75" s="51"/>
      <c r="Z75" s="51"/>
    </row>
    <row r="76" spans="1:26" ht="14.25" customHeight="1" x14ac:dyDescent="0.3">
      <c r="A76" s="84"/>
      <c r="B76" s="51"/>
      <c r="C76" s="51"/>
      <c r="D76" s="85"/>
      <c r="E76" s="51"/>
      <c r="F76" s="51"/>
      <c r="G76" s="51"/>
      <c r="H76" s="51"/>
      <c r="I76" s="51"/>
      <c r="J76" s="51"/>
      <c r="K76" s="51"/>
      <c r="L76" s="51"/>
      <c r="M76" s="51"/>
      <c r="N76" s="51"/>
      <c r="O76" s="51"/>
      <c r="P76" s="51"/>
      <c r="Q76" s="51"/>
      <c r="R76" s="51"/>
      <c r="S76" s="51"/>
      <c r="T76" s="51"/>
      <c r="U76" s="51"/>
      <c r="V76" s="51"/>
      <c r="W76" s="51"/>
      <c r="X76" s="51"/>
      <c r="Y76" s="51"/>
      <c r="Z76" s="51"/>
    </row>
    <row r="77" spans="1:26" ht="14.25" customHeight="1" x14ac:dyDescent="0.3">
      <c r="A77" s="84"/>
      <c r="B77" s="51"/>
      <c r="C77" s="51"/>
      <c r="D77" s="85"/>
      <c r="E77" s="51"/>
      <c r="F77" s="51"/>
      <c r="G77" s="51"/>
      <c r="H77" s="51"/>
      <c r="I77" s="51"/>
      <c r="J77" s="51"/>
      <c r="K77" s="51"/>
      <c r="L77" s="51"/>
      <c r="M77" s="51"/>
      <c r="N77" s="51"/>
      <c r="O77" s="51"/>
      <c r="P77" s="51"/>
      <c r="Q77" s="51"/>
      <c r="R77" s="51"/>
      <c r="S77" s="51"/>
      <c r="T77" s="51"/>
      <c r="U77" s="51"/>
      <c r="V77" s="51"/>
      <c r="W77" s="51"/>
      <c r="X77" s="51"/>
      <c r="Y77" s="51"/>
      <c r="Z77" s="51"/>
    </row>
    <row r="78" spans="1:26" ht="14.25" customHeight="1" x14ac:dyDescent="0.3">
      <c r="A78" s="84"/>
      <c r="B78" s="51"/>
      <c r="C78" s="51"/>
      <c r="D78" s="85"/>
      <c r="E78" s="51"/>
      <c r="F78" s="51"/>
      <c r="G78" s="51"/>
      <c r="H78" s="51"/>
      <c r="I78" s="51"/>
      <c r="J78" s="51"/>
      <c r="K78" s="51"/>
      <c r="L78" s="51"/>
      <c r="M78" s="51"/>
      <c r="N78" s="51"/>
      <c r="O78" s="51"/>
      <c r="P78" s="51"/>
      <c r="Q78" s="51"/>
      <c r="R78" s="51"/>
      <c r="S78" s="51"/>
      <c r="T78" s="51"/>
      <c r="U78" s="51"/>
      <c r="V78" s="51"/>
      <c r="W78" s="51"/>
      <c r="X78" s="51"/>
      <c r="Y78" s="51"/>
      <c r="Z78" s="51"/>
    </row>
    <row r="79" spans="1:26" ht="14.25" customHeight="1" x14ac:dyDescent="0.3">
      <c r="A79" s="84"/>
      <c r="B79" s="51"/>
      <c r="C79" s="51"/>
      <c r="D79" s="85"/>
      <c r="E79" s="51"/>
      <c r="F79" s="51"/>
      <c r="G79" s="51"/>
      <c r="H79" s="51"/>
      <c r="I79" s="51"/>
      <c r="J79" s="51"/>
      <c r="K79" s="51"/>
      <c r="L79" s="51"/>
      <c r="M79" s="51"/>
      <c r="N79" s="51"/>
      <c r="O79" s="51"/>
      <c r="P79" s="51"/>
      <c r="Q79" s="51"/>
      <c r="R79" s="51"/>
      <c r="S79" s="51"/>
      <c r="T79" s="51"/>
      <c r="U79" s="51"/>
      <c r="V79" s="51"/>
      <c r="W79" s="51"/>
      <c r="X79" s="51"/>
      <c r="Y79" s="51"/>
      <c r="Z79" s="51"/>
    </row>
    <row r="80" spans="1:26" ht="14.25" customHeight="1" x14ac:dyDescent="0.3">
      <c r="A80" s="84"/>
      <c r="B80" s="51"/>
      <c r="C80" s="51"/>
      <c r="D80" s="85"/>
      <c r="E80" s="51"/>
      <c r="F80" s="51"/>
      <c r="G80" s="51"/>
      <c r="H80" s="51"/>
      <c r="I80" s="51"/>
      <c r="J80" s="51"/>
      <c r="K80" s="51"/>
      <c r="L80" s="51"/>
      <c r="M80" s="51"/>
      <c r="N80" s="51"/>
      <c r="O80" s="51"/>
      <c r="P80" s="51"/>
      <c r="Q80" s="51"/>
      <c r="R80" s="51"/>
      <c r="S80" s="51"/>
      <c r="T80" s="51"/>
      <c r="U80" s="51"/>
      <c r="V80" s="51"/>
      <c r="W80" s="51"/>
      <c r="X80" s="51"/>
      <c r="Y80" s="51"/>
      <c r="Z80" s="51"/>
    </row>
    <row r="81" spans="1:26" ht="14.25" customHeight="1" x14ac:dyDescent="0.3">
      <c r="A81" s="84"/>
      <c r="B81" s="51"/>
      <c r="C81" s="51"/>
      <c r="D81" s="85"/>
      <c r="E81" s="51"/>
      <c r="F81" s="51"/>
      <c r="G81" s="51"/>
      <c r="H81" s="51"/>
      <c r="I81" s="51"/>
      <c r="J81" s="51"/>
      <c r="K81" s="51"/>
      <c r="L81" s="51"/>
      <c r="M81" s="51"/>
      <c r="N81" s="51"/>
      <c r="O81" s="51"/>
      <c r="P81" s="51"/>
      <c r="Q81" s="51"/>
      <c r="R81" s="51"/>
      <c r="S81" s="51"/>
      <c r="T81" s="51"/>
      <c r="U81" s="51"/>
      <c r="V81" s="51"/>
      <c r="W81" s="51"/>
      <c r="X81" s="51"/>
      <c r="Y81" s="51"/>
      <c r="Z81" s="51"/>
    </row>
    <row r="82" spans="1:26" ht="14.25" customHeight="1" x14ac:dyDescent="0.3">
      <c r="A82" s="84"/>
      <c r="B82" s="51"/>
      <c r="C82" s="51"/>
      <c r="D82" s="85"/>
      <c r="E82" s="51"/>
      <c r="F82" s="51"/>
      <c r="G82" s="51"/>
      <c r="H82" s="51"/>
      <c r="I82" s="51"/>
      <c r="J82" s="51"/>
      <c r="K82" s="51"/>
      <c r="L82" s="51"/>
      <c r="M82" s="51"/>
      <c r="N82" s="51"/>
      <c r="O82" s="51"/>
      <c r="P82" s="51"/>
      <c r="Q82" s="51"/>
      <c r="R82" s="51"/>
      <c r="S82" s="51"/>
      <c r="T82" s="51"/>
      <c r="U82" s="51"/>
      <c r="V82" s="51"/>
      <c r="W82" s="51"/>
      <c r="X82" s="51"/>
      <c r="Y82" s="51"/>
      <c r="Z82" s="51"/>
    </row>
    <row r="83" spans="1:26" ht="14.25" customHeight="1" x14ac:dyDescent="0.3">
      <c r="A83" s="84"/>
      <c r="B83" s="51"/>
      <c r="C83" s="51"/>
      <c r="D83" s="85"/>
      <c r="E83" s="51"/>
      <c r="F83" s="51"/>
      <c r="G83" s="51"/>
      <c r="H83" s="51"/>
      <c r="I83" s="51"/>
      <c r="J83" s="51"/>
      <c r="K83" s="51"/>
      <c r="L83" s="51"/>
      <c r="M83" s="51"/>
      <c r="N83" s="51"/>
      <c r="O83" s="51"/>
      <c r="P83" s="51"/>
      <c r="Q83" s="51"/>
      <c r="R83" s="51"/>
      <c r="S83" s="51"/>
      <c r="T83" s="51"/>
      <c r="U83" s="51"/>
      <c r="V83" s="51"/>
      <c r="W83" s="51"/>
      <c r="X83" s="51"/>
      <c r="Y83" s="51"/>
      <c r="Z83" s="51"/>
    </row>
    <row r="84" spans="1:26" ht="14.25" customHeight="1" x14ac:dyDescent="0.3">
      <c r="A84" s="84"/>
      <c r="B84" s="51"/>
      <c r="C84" s="51"/>
      <c r="D84" s="85"/>
      <c r="E84" s="51"/>
      <c r="F84" s="51"/>
      <c r="G84" s="51"/>
      <c r="H84" s="51"/>
      <c r="I84" s="51"/>
      <c r="J84" s="51"/>
      <c r="K84" s="51"/>
      <c r="L84" s="51"/>
      <c r="M84" s="51"/>
      <c r="N84" s="51"/>
      <c r="O84" s="51"/>
      <c r="P84" s="51"/>
      <c r="Q84" s="51"/>
      <c r="R84" s="51"/>
      <c r="S84" s="51"/>
      <c r="T84" s="51"/>
      <c r="U84" s="51"/>
      <c r="V84" s="51"/>
      <c r="W84" s="51"/>
      <c r="X84" s="51"/>
      <c r="Y84" s="51"/>
      <c r="Z84" s="51"/>
    </row>
    <row r="85" spans="1:26" ht="14.25" customHeight="1" x14ac:dyDescent="0.3">
      <c r="A85" s="84"/>
      <c r="B85" s="51"/>
      <c r="C85" s="51"/>
      <c r="D85" s="85"/>
      <c r="E85" s="51"/>
      <c r="F85" s="51"/>
      <c r="G85" s="51"/>
      <c r="H85" s="51"/>
      <c r="I85" s="51"/>
      <c r="J85" s="51"/>
      <c r="K85" s="51"/>
      <c r="L85" s="51"/>
      <c r="M85" s="51"/>
      <c r="N85" s="51"/>
      <c r="O85" s="51"/>
      <c r="P85" s="51"/>
      <c r="Q85" s="51"/>
      <c r="R85" s="51"/>
      <c r="S85" s="51"/>
      <c r="T85" s="51"/>
      <c r="U85" s="51"/>
      <c r="V85" s="51"/>
      <c r="W85" s="51"/>
      <c r="X85" s="51"/>
      <c r="Y85" s="51"/>
      <c r="Z85" s="51"/>
    </row>
    <row r="86" spans="1:26" ht="14.25" customHeight="1" x14ac:dyDescent="0.3">
      <c r="A86" s="84"/>
      <c r="B86" s="51"/>
      <c r="C86" s="51"/>
      <c r="D86" s="85"/>
      <c r="E86" s="51"/>
      <c r="F86" s="51"/>
      <c r="G86" s="51"/>
      <c r="H86" s="51"/>
      <c r="I86" s="51"/>
      <c r="J86" s="51"/>
      <c r="K86" s="51"/>
      <c r="L86" s="51"/>
      <c r="M86" s="51"/>
      <c r="N86" s="51"/>
      <c r="O86" s="51"/>
      <c r="P86" s="51"/>
      <c r="Q86" s="51"/>
      <c r="R86" s="51"/>
      <c r="S86" s="51"/>
      <c r="T86" s="51"/>
      <c r="U86" s="51"/>
      <c r="V86" s="51"/>
      <c r="W86" s="51"/>
      <c r="X86" s="51"/>
      <c r="Y86" s="51"/>
      <c r="Z86" s="51"/>
    </row>
    <row r="87" spans="1:26" ht="14.25" customHeight="1" x14ac:dyDescent="0.3">
      <c r="A87" s="84"/>
      <c r="B87" s="51"/>
      <c r="C87" s="51"/>
      <c r="D87" s="85"/>
      <c r="E87" s="51"/>
      <c r="F87" s="51"/>
      <c r="G87" s="51"/>
      <c r="H87" s="51"/>
      <c r="I87" s="51"/>
      <c r="J87" s="51"/>
      <c r="K87" s="51"/>
      <c r="L87" s="51"/>
      <c r="M87" s="51"/>
      <c r="N87" s="51"/>
      <c r="O87" s="51"/>
      <c r="P87" s="51"/>
      <c r="Q87" s="51"/>
      <c r="R87" s="51"/>
      <c r="S87" s="51"/>
      <c r="T87" s="51"/>
      <c r="U87" s="51"/>
      <c r="V87" s="51"/>
      <c r="W87" s="51"/>
      <c r="X87" s="51"/>
      <c r="Y87" s="51"/>
      <c r="Z87" s="51"/>
    </row>
    <row r="88" spans="1:26" ht="14.25" customHeight="1" x14ac:dyDescent="0.3">
      <c r="A88" s="84"/>
      <c r="B88" s="51"/>
      <c r="C88" s="51"/>
      <c r="D88" s="85"/>
      <c r="E88" s="51"/>
      <c r="F88" s="51"/>
      <c r="G88" s="51"/>
      <c r="H88" s="51"/>
      <c r="I88" s="51"/>
      <c r="J88" s="51"/>
      <c r="K88" s="51"/>
      <c r="L88" s="51"/>
      <c r="M88" s="51"/>
      <c r="N88" s="51"/>
      <c r="O88" s="51"/>
      <c r="P88" s="51"/>
      <c r="Q88" s="51"/>
      <c r="R88" s="51"/>
      <c r="S88" s="51"/>
      <c r="T88" s="51"/>
      <c r="U88" s="51"/>
      <c r="V88" s="51"/>
      <c r="W88" s="51"/>
      <c r="X88" s="51"/>
      <c r="Y88" s="51"/>
      <c r="Z88" s="51"/>
    </row>
    <row r="89" spans="1:26" ht="14.25" customHeight="1" x14ac:dyDescent="0.3">
      <c r="A89" s="84"/>
      <c r="B89" s="51"/>
      <c r="C89" s="51"/>
      <c r="D89" s="85"/>
      <c r="E89" s="51"/>
      <c r="F89" s="51"/>
      <c r="G89" s="51"/>
      <c r="H89" s="51"/>
      <c r="I89" s="51"/>
      <c r="J89" s="51"/>
      <c r="K89" s="51"/>
      <c r="L89" s="51"/>
      <c r="M89" s="51"/>
      <c r="N89" s="51"/>
      <c r="O89" s="51"/>
      <c r="P89" s="51"/>
      <c r="Q89" s="51"/>
      <c r="R89" s="51"/>
      <c r="S89" s="51"/>
      <c r="T89" s="51"/>
      <c r="U89" s="51"/>
      <c r="V89" s="51"/>
      <c r="W89" s="51"/>
      <c r="X89" s="51"/>
      <c r="Y89" s="51"/>
      <c r="Z89" s="51"/>
    </row>
    <row r="90" spans="1:26" ht="14.25" customHeight="1" x14ac:dyDescent="0.3">
      <c r="A90" s="84"/>
      <c r="B90" s="51"/>
      <c r="C90" s="51"/>
      <c r="D90" s="85"/>
      <c r="E90" s="51"/>
      <c r="F90" s="51"/>
      <c r="G90" s="51"/>
      <c r="H90" s="51"/>
      <c r="I90" s="51"/>
      <c r="J90" s="51"/>
      <c r="K90" s="51"/>
      <c r="L90" s="51"/>
      <c r="M90" s="51"/>
      <c r="N90" s="51"/>
      <c r="O90" s="51"/>
      <c r="P90" s="51"/>
      <c r="Q90" s="51"/>
      <c r="R90" s="51"/>
      <c r="S90" s="51"/>
      <c r="T90" s="51"/>
      <c r="U90" s="51"/>
      <c r="V90" s="51"/>
      <c r="W90" s="51"/>
      <c r="X90" s="51"/>
      <c r="Y90" s="51"/>
      <c r="Z90" s="51"/>
    </row>
    <row r="91" spans="1:26" ht="14.25" customHeight="1" x14ac:dyDescent="0.3">
      <c r="A91" s="84"/>
      <c r="B91" s="51"/>
      <c r="C91" s="51"/>
      <c r="D91" s="85"/>
      <c r="E91" s="51"/>
      <c r="F91" s="51"/>
      <c r="G91" s="51"/>
      <c r="H91" s="51"/>
      <c r="I91" s="51"/>
      <c r="J91" s="51"/>
      <c r="K91" s="51"/>
      <c r="L91" s="51"/>
      <c r="M91" s="51"/>
      <c r="N91" s="51"/>
      <c r="O91" s="51"/>
      <c r="P91" s="51"/>
      <c r="Q91" s="51"/>
      <c r="R91" s="51"/>
      <c r="S91" s="51"/>
      <c r="T91" s="51"/>
      <c r="U91" s="51"/>
      <c r="V91" s="51"/>
      <c r="W91" s="51"/>
      <c r="X91" s="51"/>
      <c r="Y91" s="51"/>
      <c r="Z91" s="51"/>
    </row>
    <row r="92" spans="1:26" ht="14.25" customHeight="1" x14ac:dyDescent="0.3">
      <c r="A92" s="84"/>
      <c r="B92" s="51"/>
      <c r="C92" s="51"/>
      <c r="D92" s="85"/>
      <c r="E92" s="51"/>
      <c r="F92" s="51"/>
      <c r="G92" s="51"/>
      <c r="H92" s="51"/>
      <c r="I92" s="51"/>
      <c r="J92" s="51"/>
      <c r="K92" s="51"/>
      <c r="L92" s="51"/>
      <c r="M92" s="51"/>
      <c r="N92" s="51"/>
      <c r="O92" s="51"/>
      <c r="P92" s="51"/>
      <c r="Q92" s="51"/>
      <c r="R92" s="51"/>
      <c r="S92" s="51"/>
      <c r="T92" s="51"/>
      <c r="U92" s="51"/>
      <c r="V92" s="51"/>
      <c r="W92" s="51"/>
      <c r="X92" s="51"/>
      <c r="Y92" s="51"/>
      <c r="Z92" s="51"/>
    </row>
    <row r="93" spans="1:26" ht="14.25" customHeight="1" x14ac:dyDescent="0.3">
      <c r="A93" s="84"/>
      <c r="B93" s="51"/>
      <c r="C93" s="51"/>
      <c r="D93" s="85"/>
      <c r="E93" s="51"/>
      <c r="F93" s="51"/>
      <c r="G93" s="51"/>
      <c r="H93" s="51"/>
      <c r="I93" s="51"/>
      <c r="J93" s="51"/>
      <c r="K93" s="51"/>
      <c r="L93" s="51"/>
      <c r="M93" s="51"/>
      <c r="N93" s="51"/>
      <c r="O93" s="51"/>
      <c r="P93" s="51"/>
      <c r="Q93" s="51"/>
      <c r="R93" s="51"/>
      <c r="S93" s="51"/>
      <c r="T93" s="51"/>
      <c r="U93" s="51"/>
      <c r="V93" s="51"/>
      <c r="W93" s="51"/>
      <c r="X93" s="51"/>
      <c r="Y93" s="51"/>
      <c r="Z93" s="51"/>
    </row>
    <row r="94" spans="1:26" ht="14.25" customHeight="1" x14ac:dyDescent="0.3">
      <c r="A94" s="84"/>
      <c r="B94" s="51"/>
      <c r="C94" s="51"/>
      <c r="D94" s="85"/>
      <c r="E94" s="51"/>
      <c r="F94" s="51"/>
      <c r="G94" s="51"/>
      <c r="H94" s="51"/>
      <c r="I94" s="51"/>
      <c r="J94" s="51"/>
      <c r="K94" s="51"/>
      <c r="L94" s="51"/>
      <c r="M94" s="51"/>
      <c r="N94" s="51"/>
      <c r="O94" s="51"/>
      <c r="P94" s="51"/>
      <c r="Q94" s="51"/>
      <c r="R94" s="51"/>
      <c r="S94" s="51"/>
      <c r="T94" s="51"/>
      <c r="U94" s="51"/>
      <c r="V94" s="51"/>
      <c r="W94" s="51"/>
      <c r="X94" s="51"/>
      <c r="Y94" s="51"/>
      <c r="Z94" s="51"/>
    </row>
    <row r="95" spans="1:26" ht="14.25" customHeight="1" x14ac:dyDescent="0.3">
      <c r="A95" s="84"/>
      <c r="B95" s="51"/>
      <c r="C95" s="51"/>
      <c r="D95" s="85"/>
      <c r="E95" s="51"/>
      <c r="F95" s="51"/>
      <c r="G95" s="51"/>
      <c r="H95" s="51"/>
      <c r="I95" s="51"/>
      <c r="J95" s="51"/>
      <c r="K95" s="51"/>
      <c r="L95" s="51"/>
      <c r="M95" s="51"/>
      <c r="N95" s="51"/>
      <c r="O95" s="51"/>
      <c r="P95" s="51"/>
      <c r="Q95" s="51"/>
      <c r="R95" s="51"/>
      <c r="S95" s="51"/>
      <c r="T95" s="51"/>
      <c r="U95" s="51"/>
      <c r="V95" s="51"/>
      <c r="W95" s="51"/>
      <c r="X95" s="51"/>
      <c r="Y95" s="51"/>
      <c r="Z95" s="51"/>
    </row>
    <row r="96" spans="1:26" ht="14.25" customHeight="1" x14ac:dyDescent="0.3">
      <c r="A96" s="84"/>
      <c r="B96" s="51"/>
      <c r="C96" s="51"/>
      <c r="D96" s="85"/>
      <c r="E96" s="51"/>
      <c r="F96" s="51"/>
      <c r="G96" s="51"/>
      <c r="H96" s="51"/>
      <c r="I96" s="51"/>
      <c r="J96" s="51"/>
      <c r="K96" s="51"/>
      <c r="L96" s="51"/>
      <c r="M96" s="51"/>
      <c r="N96" s="51"/>
      <c r="O96" s="51"/>
      <c r="P96" s="51"/>
      <c r="Q96" s="51"/>
      <c r="R96" s="51"/>
      <c r="S96" s="51"/>
      <c r="T96" s="51"/>
      <c r="U96" s="51"/>
      <c r="V96" s="51"/>
      <c r="W96" s="51"/>
      <c r="X96" s="51"/>
      <c r="Y96" s="51"/>
      <c r="Z96" s="51"/>
    </row>
    <row r="97" spans="1:26" ht="14.25" customHeight="1" x14ac:dyDescent="0.3">
      <c r="A97" s="84"/>
      <c r="B97" s="51"/>
      <c r="C97" s="51"/>
      <c r="D97" s="85"/>
      <c r="E97" s="51"/>
      <c r="F97" s="51"/>
      <c r="G97" s="51"/>
      <c r="H97" s="51"/>
      <c r="I97" s="51"/>
      <c r="J97" s="51"/>
      <c r="K97" s="51"/>
      <c r="L97" s="51"/>
      <c r="M97" s="51"/>
      <c r="N97" s="51"/>
      <c r="O97" s="51"/>
      <c r="P97" s="51"/>
      <c r="Q97" s="51"/>
      <c r="R97" s="51"/>
      <c r="S97" s="51"/>
      <c r="T97" s="51"/>
      <c r="U97" s="51"/>
      <c r="V97" s="51"/>
      <c r="W97" s="51"/>
      <c r="X97" s="51"/>
      <c r="Y97" s="51"/>
      <c r="Z97" s="51"/>
    </row>
    <row r="98" spans="1:26" ht="14.25" customHeight="1" x14ac:dyDescent="0.3">
      <c r="A98" s="84"/>
      <c r="B98" s="51"/>
      <c r="C98" s="51"/>
      <c r="D98" s="85"/>
      <c r="E98" s="51"/>
      <c r="F98" s="51"/>
      <c r="G98" s="51"/>
      <c r="H98" s="51"/>
      <c r="I98" s="51"/>
      <c r="J98" s="51"/>
      <c r="K98" s="51"/>
      <c r="L98" s="51"/>
      <c r="M98" s="51"/>
      <c r="N98" s="51"/>
      <c r="O98" s="51"/>
      <c r="P98" s="51"/>
      <c r="Q98" s="51"/>
      <c r="R98" s="51"/>
      <c r="S98" s="51"/>
      <c r="T98" s="51"/>
      <c r="U98" s="51"/>
      <c r="V98" s="51"/>
      <c r="W98" s="51"/>
      <c r="X98" s="51"/>
      <c r="Y98" s="51"/>
      <c r="Z98" s="51"/>
    </row>
    <row r="99" spans="1:26" ht="14.25" customHeight="1" x14ac:dyDescent="0.3">
      <c r="A99" s="84"/>
      <c r="B99" s="51"/>
      <c r="C99" s="51"/>
      <c r="D99" s="85"/>
      <c r="E99" s="51"/>
      <c r="F99" s="51"/>
      <c r="G99" s="51"/>
      <c r="H99" s="51"/>
      <c r="I99" s="51"/>
      <c r="J99" s="51"/>
      <c r="K99" s="51"/>
      <c r="L99" s="51"/>
      <c r="M99" s="51"/>
      <c r="N99" s="51"/>
      <c r="O99" s="51"/>
      <c r="P99" s="51"/>
      <c r="Q99" s="51"/>
      <c r="R99" s="51"/>
      <c r="S99" s="51"/>
      <c r="T99" s="51"/>
      <c r="U99" s="51"/>
      <c r="V99" s="51"/>
      <c r="W99" s="51"/>
      <c r="X99" s="51"/>
      <c r="Y99" s="51"/>
      <c r="Z99" s="51"/>
    </row>
    <row r="100" spans="1:26" ht="14.25" customHeight="1" x14ac:dyDescent="0.3">
      <c r="A100" s="84"/>
      <c r="B100" s="51"/>
      <c r="C100" s="51"/>
      <c r="D100" s="85"/>
      <c r="E100" s="51"/>
      <c r="F100" s="51"/>
      <c r="G100" s="51"/>
      <c r="H100" s="51"/>
      <c r="I100" s="51"/>
      <c r="J100" s="51"/>
      <c r="K100" s="51"/>
      <c r="L100" s="51"/>
      <c r="M100" s="51"/>
      <c r="N100" s="51"/>
      <c r="O100" s="51"/>
      <c r="P100" s="51"/>
      <c r="Q100" s="51"/>
      <c r="R100" s="51"/>
      <c r="S100" s="51"/>
      <c r="T100" s="51"/>
      <c r="U100" s="51"/>
      <c r="V100" s="51"/>
      <c r="W100" s="51"/>
      <c r="X100" s="51"/>
      <c r="Y100" s="51"/>
      <c r="Z100" s="51"/>
    </row>
    <row r="101" spans="1:26" ht="14.25" customHeight="1" x14ac:dyDescent="0.3">
      <c r="A101" s="84"/>
      <c r="B101" s="51"/>
      <c r="C101" s="51"/>
      <c r="D101" s="85"/>
      <c r="E101" s="51"/>
      <c r="F101" s="51"/>
      <c r="G101" s="51"/>
      <c r="H101" s="51"/>
      <c r="I101" s="51"/>
      <c r="J101" s="51"/>
      <c r="K101" s="51"/>
      <c r="L101" s="51"/>
      <c r="M101" s="51"/>
      <c r="N101" s="51"/>
      <c r="O101" s="51"/>
      <c r="P101" s="51"/>
      <c r="Q101" s="51"/>
      <c r="R101" s="51"/>
      <c r="S101" s="51"/>
      <c r="T101" s="51"/>
      <c r="U101" s="51"/>
      <c r="V101" s="51"/>
      <c r="W101" s="51"/>
      <c r="X101" s="51"/>
      <c r="Y101" s="51"/>
      <c r="Z101" s="51"/>
    </row>
    <row r="102" spans="1:26" ht="14.25" customHeight="1" x14ac:dyDescent="0.3">
      <c r="A102" s="84"/>
      <c r="B102" s="51"/>
      <c r="C102" s="51"/>
      <c r="D102" s="85"/>
      <c r="E102" s="51"/>
      <c r="F102" s="51"/>
      <c r="G102" s="51"/>
      <c r="H102" s="51"/>
      <c r="I102" s="51"/>
      <c r="J102" s="51"/>
      <c r="K102" s="51"/>
      <c r="L102" s="51"/>
      <c r="M102" s="51"/>
      <c r="N102" s="51"/>
      <c r="O102" s="51"/>
      <c r="P102" s="51"/>
      <c r="Q102" s="51"/>
      <c r="R102" s="51"/>
      <c r="S102" s="51"/>
      <c r="T102" s="51"/>
      <c r="U102" s="51"/>
      <c r="V102" s="51"/>
      <c r="W102" s="51"/>
      <c r="X102" s="51"/>
      <c r="Y102" s="51"/>
      <c r="Z102" s="51"/>
    </row>
    <row r="103" spans="1:26" ht="14.25" customHeight="1" x14ac:dyDescent="0.3">
      <c r="A103" s="84"/>
      <c r="B103" s="51"/>
      <c r="C103" s="51"/>
      <c r="D103" s="85"/>
      <c r="E103" s="51"/>
      <c r="F103" s="51"/>
      <c r="G103" s="51"/>
      <c r="H103" s="51"/>
      <c r="I103" s="51"/>
      <c r="J103" s="51"/>
      <c r="K103" s="51"/>
      <c r="L103" s="51"/>
      <c r="M103" s="51"/>
      <c r="N103" s="51"/>
      <c r="O103" s="51"/>
      <c r="P103" s="51"/>
      <c r="Q103" s="51"/>
      <c r="R103" s="51"/>
      <c r="S103" s="51"/>
      <c r="T103" s="51"/>
      <c r="U103" s="51"/>
      <c r="V103" s="51"/>
      <c r="W103" s="51"/>
      <c r="X103" s="51"/>
      <c r="Y103" s="51"/>
      <c r="Z103" s="51"/>
    </row>
    <row r="104" spans="1:26" ht="14.25" customHeight="1" x14ac:dyDescent="0.3">
      <c r="A104" s="84"/>
      <c r="B104" s="51"/>
      <c r="C104" s="51"/>
      <c r="D104" s="85"/>
      <c r="E104" s="51"/>
      <c r="F104" s="51"/>
      <c r="G104" s="51"/>
      <c r="H104" s="51"/>
      <c r="I104" s="51"/>
      <c r="J104" s="51"/>
      <c r="K104" s="51"/>
      <c r="L104" s="51"/>
      <c r="M104" s="51"/>
      <c r="N104" s="51"/>
      <c r="O104" s="51"/>
      <c r="P104" s="51"/>
      <c r="Q104" s="51"/>
      <c r="R104" s="51"/>
      <c r="S104" s="51"/>
      <c r="T104" s="51"/>
      <c r="U104" s="51"/>
      <c r="V104" s="51"/>
      <c r="W104" s="51"/>
      <c r="X104" s="51"/>
      <c r="Y104" s="51"/>
      <c r="Z104" s="51"/>
    </row>
    <row r="105" spans="1:26" ht="14.25" customHeight="1" x14ac:dyDescent="0.3">
      <c r="A105" s="84"/>
      <c r="B105" s="51"/>
      <c r="C105" s="51"/>
      <c r="D105" s="85"/>
      <c r="E105" s="51"/>
      <c r="F105" s="51"/>
      <c r="G105" s="51"/>
      <c r="H105" s="51"/>
      <c r="I105" s="51"/>
      <c r="J105" s="51"/>
      <c r="K105" s="51"/>
      <c r="L105" s="51"/>
      <c r="M105" s="51"/>
      <c r="N105" s="51"/>
      <c r="O105" s="51"/>
      <c r="P105" s="51"/>
      <c r="Q105" s="51"/>
      <c r="R105" s="51"/>
      <c r="S105" s="51"/>
      <c r="T105" s="51"/>
      <c r="U105" s="51"/>
      <c r="V105" s="51"/>
      <c r="W105" s="51"/>
      <c r="X105" s="51"/>
      <c r="Y105" s="51"/>
      <c r="Z105" s="51"/>
    </row>
    <row r="106" spans="1:26" ht="14.25" customHeight="1" x14ac:dyDescent="0.3">
      <c r="A106" s="84"/>
      <c r="B106" s="51"/>
      <c r="C106" s="51"/>
      <c r="D106" s="85"/>
      <c r="E106" s="51"/>
      <c r="F106" s="51"/>
      <c r="G106" s="51"/>
      <c r="H106" s="51"/>
      <c r="I106" s="51"/>
      <c r="J106" s="51"/>
      <c r="K106" s="51"/>
      <c r="L106" s="51"/>
      <c r="M106" s="51"/>
      <c r="N106" s="51"/>
      <c r="O106" s="51"/>
      <c r="P106" s="51"/>
      <c r="Q106" s="51"/>
      <c r="R106" s="51"/>
      <c r="S106" s="51"/>
      <c r="T106" s="51"/>
      <c r="U106" s="51"/>
      <c r="V106" s="51"/>
      <c r="W106" s="51"/>
      <c r="X106" s="51"/>
      <c r="Y106" s="51"/>
      <c r="Z106" s="51"/>
    </row>
    <row r="107" spans="1:26" ht="14.25" customHeight="1" x14ac:dyDescent="0.3">
      <c r="A107" s="84"/>
      <c r="B107" s="51"/>
      <c r="C107" s="51"/>
      <c r="D107" s="85"/>
      <c r="E107" s="51"/>
      <c r="F107" s="51"/>
      <c r="G107" s="51"/>
      <c r="H107" s="51"/>
      <c r="I107" s="51"/>
      <c r="J107" s="51"/>
      <c r="K107" s="51"/>
      <c r="L107" s="51"/>
      <c r="M107" s="51"/>
      <c r="N107" s="51"/>
      <c r="O107" s="51"/>
      <c r="P107" s="51"/>
      <c r="Q107" s="51"/>
      <c r="R107" s="51"/>
      <c r="S107" s="51"/>
      <c r="T107" s="51"/>
      <c r="U107" s="51"/>
      <c r="V107" s="51"/>
      <c r="W107" s="51"/>
      <c r="X107" s="51"/>
      <c r="Y107" s="51"/>
      <c r="Z107" s="51"/>
    </row>
    <row r="108" spans="1:26" ht="14.25" customHeight="1" x14ac:dyDescent="0.3">
      <c r="A108" s="84"/>
      <c r="B108" s="51"/>
      <c r="C108" s="51"/>
      <c r="D108" s="85"/>
      <c r="E108" s="51"/>
      <c r="F108" s="51"/>
      <c r="G108" s="51"/>
      <c r="H108" s="51"/>
      <c r="I108" s="51"/>
      <c r="J108" s="51"/>
      <c r="K108" s="51"/>
      <c r="L108" s="51"/>
      <c r="M108" s="51"/>
      <c r="N108" s="51"/>
      <c r="O108" s="51"/>
      <c r="P108" s="51"/>
      <c r="Q108" s="51"/>
      <c r="R108" s="51"/>
      <c r="S108" s="51"/>
      <c r="T108" s="51"/>
      <c r="U108" s="51"/>
      <c r="V108" s="51"/>
      <c r="W108" s="51"/>
      <c r="X108" s="51"/>
      <c r="Y108" s="51"/>
      <c r="Z108" s="51"/>
    </row>
    <row r="109" spans="1:26" ht="14.25" customHeight="1" x14ac:dyDescent="0.3">
      <c r="A109" s="84"/>
      <c r="B109" s="51"/>
      <c r="C109" s="51"/>
      <c r="D109" s="85"/>
      <c r="E109" s="51"/>
      <c r="F109" s="51"/>
      <c r="G109" s="51"/>
      <c r="H109" s="51"/>
      <c r="I109" s="51"/>
      <c r="J109" s="51"/>
      <c r="K109" s="51"/>
      <c r="L109" s="51"/>
      <c r="M109" s="51"/>
      <c r="N109" s="51"/>
      <c r="O109" s="51"/>
      <c r="P109" s="51"/>
      <c r="Q109" s="51"/>
      <c r="R109" s="51"/>
      <c r="S109" s="51"/>
      <c r="T109" s="51"/>
      <c r="U109" s="51"/>
      <c r="V109" s="51"/>
      <c r="W109" s="51"/>
      <c r="X109" s="51"/>
      <c r="Y109" s="51"/>
      <c r="Z109" s="51"/>
    </row>
    <row r="110" spans="1:26" ht="14.25" customHeight="1" x14ac:dyDescent="0.3">
      <c r="A110" s="84"/>
      <c r="B110" s="51"/>
      <c r="C110" s="51"/>
      <c r="D110" s="85"/>
      <c r="E110" s="51"/>
      <c r="F110" s="51"/>
      <c r="G110" s="51"/>
      <c r="H110" s="51"/>
      <c r="I110" s="51"/>
      <c r="J110" s="51"/>
      <c r="K110" s="51"/>
      <c r="L110" s="51"/>
      <c r="M110" s="51"/>
      <c r="N110" s="51"/>
      <c r="O110" s="51"/>
      <c r="P110" s="51"/>
      <c r="Q110" s="51"/>
      <c r="R110" s="51"/>
      <c r="S110" s="51"/>
      <c r="T110" s="51"/>
      <c r="U110" s="51"/>
      <c r="V110" s="51"/>
      <c r="W110" s="51"/>
      <c r="X110" s="51"/>
      <c r="Y110" s="51"/>
      <c r="Z110" s="51"/>
    </row>
    <row r="111" spans="1:26" ht="14.25" customHeight="1" x14ac:dyDescent="0.3">
      <c r="A111" s="84"/>
      <c r="B111" s="51"/>
      <c r="C111" s="51"/>
      <c r="D111" s="85"/>
      <c r="E111" s="51"/>
      <c r="F111" s="51"/>
      <c r="G111" s="51"/>
      <c r="H111" s="51"/>
      <c r="I111" s="51"/>
      <c r="J111" s="51"/>
      <c r="K111" s="51"/>
      <c r="L111" s="51"/>
      <c r="M111" s="51"/>
      <c r="N111" s="51"/>
      <c r="O111" s="51"/>
      <c r="P111" s="51"/>
      <c r="Q111" s="51"/>
      <c r="R111" s="51"/>
      <c r="S111" s="51"/>
      <c r="T111" s="51"/>
      <c r="U111" s="51"/>
      <c r="V111" s="51"/>
      <c r="W111" s="51"/>
      <c r="X111" s="51"/>
      <c r="Y111" s="51"/>
      <c r="Z111" s="51"/>
    </row>
    <row r="112" spans="1:26" ht="14.25" customHeight="1" x14ac:dyDescent="0.3">
      <c r="A112" s="84"/>
      <c r="B112" s="51"/>
      <c r="C112" s="51"/>
      <c r="D112" s="85"/>
      <c r="E112" s="51"/>
      <c r="F112" s="51"/>
      <c r="G112" s="51"/>
      <c r="H112" s="51"/>
      <c r="I112" s="51"/>
      <c r="J112" s="51"/>
      <c r="K112" s="51"/>
      <c r="L112" s="51"/>
      <c r="M112" s="51"/>
      <c r="N112" s="51"/>
      <c r="O112" s="51"/>
      <c r="P112" s="51"/>
      <c r="Q112" s="51"/>
      <c r="R112" s="51"/>
      <c r="S112" s="51"/>
      <c r="T112" s="51"/>
      <c r="U112" s="51"/>
      <c r="V112" s="51"/>
      <c r="W112" s="51"/>
      <c r="X112" s="51"/>
      <c r="Y112" s="51"/>
      <c r="Z112" s="51"/>
    </row>
    <row r="113" spans="1:26" ht="14.25" customHeight="1" x14ac:dyDescent="0.3">
      <c r="A113" s="84"/>
      <c r="B113" s="51"/>
      <c r="C113" s="51"/>
      <c r="D113" s="85"/>
      <c r="E113" s="51"/>
      <c r="F113" s="51"/>
      <c r="G113" s="51"/>
      <c r="H113" s="51"/>
      <c r="I113" s="51"/>
      <c r="J113" s="51"/>
      <c r="K113" s="51"/>
      <c r="L113" s="51"/>
      <c r="M113" s="51"/>
      <c r="N113" s="51"/>
      <c r="O113" s="51"/>
      <c r="P113" s="51"/>
      <c r="Q113" s="51"/>
      <c r="R113" s="51"/>
      <c r="S113" s="51"/>
      <c r="T113" s="51"/>
      <c r="U113" s="51"/>
      <c r="V113" s="51"/>
      <c r="W113" s="51"/>
      <c r="X113" s="51"/>
      <c r="Y113" s="51"/>
      <c r="Z113" s="51"/>
    </row>
    <row r="114" spans="1:26" ht="14.25" customHeight="1" x14ac:dyDescent="0.3">
      <c r="A114" s="84"/>
      <c r="B114" s="51"/>
      <c r="C114" s="51"/>
      <c r="D114" s="85"/>
      <c r="E114" s="51"/>
      <c r="F114" s="51"/>
      <c r="G114" s="51"/>
      <c r="H114" s="51"/>
      <c r="I114" s="51"/>
      <c r="J114" s="51"/>
      <c r="K114" s="51"/>
      <c r="L114" s="51"/>
      <c r="M114" s="51"/>
      <c r="N114" s="51"/>
      <c r="O114" s="51"/>
      <c r="P114" s="51"/>
      <c r="Q114" s="51"/>
      <c r="R114" s="51"/>
      <c r="S114" s="51"/>
      <c r="T114" s="51"/>
      <c r="U114" s="51"/>
      <c r="V114" s="51"/>
      <c r="W114" s="51"/>
      <c r="X114" s="51"/>
      <c r="Y114" s="51"/>
      <c r="Z114" s="51"/>
    </row>
    <row r="115" spans="1:26" ht="14.25" customHeight="1" x14ac:dyDescent="0.3">
      <c r="A115" s="84"/>
      <c r="B115" s="51"/>
      <c r="C115" s="51"/>
      <c r="D115" s="85"/>
      <c r="E115" s="51"/>
      <c r="F115" s="51"/>
      <c r="G115" s="51"/>
      <c r="H115" s="51"/>
      <c r="I115" s="51"/>
      <c r="J115" s="51"/>
      <c r="K115" s="51"/>
      <c r="L115" s="51"/>
      <c r="M115" s="51"/>
      <c r="N115" s="51"/>
      <c r="O115" s="51"/>
      <c r="P115" s="51"/>
      <c r="Q115" s="51"/>
      <c r="R115" s="51"/>
      <c r="S115" s="51"/>
      <c r="T115" s="51"/>
      <c r="U115" s="51"/>
      <c r="V115" s="51"/>
      <c r="W115" s="51"/>
      <c r="X115" s="51"/>
      <c r="Y115" s="51"/>
      <c r="Z115" s="51"/>
    </row>
    <row r="116" spans="1:26" ht="14.25" customHeight="1" x14ac:dyDescent="0.3">
      <c r="A116" s="84"/>
      <c r="B116" s="51"/>
      <c r="C116" s="51"/>
      <c r="D116" s="85"/>
      <c r="E116" s="51"/>
      <c r="F116" s="51"/>
      <c r="G116" s="51"/>
      <c r="H116" s="51"/>
      <c r="I116" s="51"/>
      <c r="J116" s="51"/>
      <c r="K116" s="51"/>
      <c r="L116" s="51"/>
      <c r="M116" s="51"/>
      <c r="N116" s="51"/>
      <c r="O116" s="51"/>
      <c r="P116" s="51"/>
      <c r="Q116" s="51"/>
      <c r="R116" s="51"/>
      <c r="S116" s="51"/>
      <c r="T116" s="51"/>
      <c r="U116" s="51"/>
      <c r="V116" s="51"/>
      <c r="W116" s="51"/>
      <c r="X116" s="51"/>
      <c r="Y116" s="51"/>
      <c r="Z116" s="51"/>
    </row>
    <row r="117" spans="1:26" ht="14.25" customHeight="1" x14ac:dyDescent="0.3">
      <c r="A117" s="84"/>
      <c r="B117" s="51"/>
      <c r="C117" s="51"/>
      <c r="D117" s="85"/>
      <c r="E117" s="51"/>
      <c r="F117" s="51"/>
      <c r="G117" s="51"/>
      <c r="H117" s="51"/>
      <c r="I117" s="51"/>
      <c r="J117" s="51"/>
      <c r="K117" s="51"/>
      <c r="L117" s="51"/>
      <c r="M117" s="51"/>
      <c r="N117" s="51"/>
      <c r="O117" s="51"/>
      <c r="P117" s="51"/>
      <c r="Q117" s="51"/>
      <c r="R117" s="51"/>
      <c r="S117" s="51"/>
      <c r="T117" s="51"/>
      <c r="U117" s="51"/>
      <c r="V117" s="51"/>
      <c r="W117" s="51"/>
      <c r="X117" s="51"/>
      <c r="Y117" s="51"/>
      <c r="Z117" s="51"/>
    </row>
    <row r="118" spans="1:26" ht="14.25" customHeight="1" x14ac:dyDescent="0.3">
      <c r="A118" s="84"/>
      <c r="B118" s="51"/>
      <c r="C118" s="51"/>
      <c r="D118" s="85"/>
      <c r="E118" s="51"/>
      <c r="F118" s="51"/>
      <c r="G118" s="51"/>
      <c r="H118" s="51"/>
      <c r="I118" s="51"/>
      <c r="J118" s="51"/>
      <c r="K118" s="51"/>
      <c r="L118" s="51"/>
      <c r="M118" s="51"/>
      <c r="N118" s="51"/>
      <c r="O118" s="51"/>
      <c r="P118" s="51"/>
      <c r="Q118" s="51"/>
      <c r="R118" s="51"/>
      <c r="S118" s="51"/>
      <c r="T118" s="51"/>
      <c r="U118" s="51"/>
      <c r="V118" s="51"/>
      <c r="W118" s="51"/>
      <c r="X118" s="51"/>
      <c r="Y118" s="51"/>
      <c r="Z118" s="51"/>
    </row>
    <row r="119" spans="1:26" ht="14.25" customHeight="1" x14ac:dyDescent="0.3">
      <c r="A119" s="84"/>
      <c r="B119" s="51"/>
      <c r="C119" s="51"/>
      <c r="D119" s="85"/>
      <c r="E119" s="51"/>
      <c r="F119" s="51"/>
      <c r="G119" s="51"/>
      <c r="H119" s="51"/>
      <c r="I119" s="51"/>
      <c r="J119" s="51"/>
      <c r="K119" s="51"/>
      <c r="L119" s="51"/>
      <c r="M119" s="51"/>
      <c r="N119" s="51"/>
      <c r="O119" s="51"/>
      <c r="P119" s="51"/>
      <c r="Q119" s="51"/>
      <c r="R119" s="51"/>
      <c r="S119" s="51"/>
      <c r="T119" s="51"/>
      <c r="U119" s="51"/>
      <c r="V119" s="51"/>
      <c r="W119" s="51"/>
      <c r="X119" s="51"/>
      <c r="Y119" s="51"/>
      <c r="Z119" s="51"/>
    </row>
    <row r="120" spans="1:26" ht="14.25" customHeight="1" x14ac:dyDescent="0.3">
      <c r="A120" s="84"/>
      <c r="B120" s="51"/>
      <c r="C120" s="51"/>
      <c r="D120" s="85"/>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ht="14.25" customHeight="1" x14ac:dyDescent="0.3">
      <c r="A121" s="84"/>
      <c r="B121" s="51"/>
      <c r="C121" s="51"/>
      <c r="D121" s="85"/>
      <c r="E121" s="51"/>
      <c r="F121" s="51"/>
      <c r="G121" s="51"/>
      <c r="H121" s="51"/>
      <c r="I121" s="51"/>
      <c r="J121" s="51"/>
      <c r="K121" s="51"/>
      <c r="L121" s="51"/>
      <c r="M121" s="51"/>
      <c r="N121" s="51"/>
      <c r="O121" s="51"/>
      <c r="P121" s="51"/>
      <c r="Q121" s="51"/>
      <c r="R121" s="51"/>
      <c r="S121" s="51"/>
      <c r="T121" s="51"/>
      <c r="U121" s="51"/>
      <c r="V121" s="51"/>
      <c r="W121" s="51"/>
      <c r="X121" s="51"/>
      <c r="Y121" s="51"/>
      <c r="Z121" s="51"/>
    </row>
    <row r="122" spans="1:26" ht="14.25" customHeight="1" x14ac:dyDescent="0.3">
      <c r="A122" s="84"/>
      <c r="B122" s="51"/>
      <c r="C122" s="51"/>
      <c r="D122" s="85"/>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ht="14.25" customHeight="1" x14ac:dyDescent="0.3">
      <c r="A123" s="84"/>
      <c r="B123" s="51"/>
      <c r="C123" s="51"/>
      <c r="D123" s="85"/>
      <c r="E123" s="51"/>
      <c r="F123" s="51"/>
      <c r="G123" s="51"/>
      <c r="H123" s="51"/>
      <c r="I123" s="51"/>
      <c r="J123" s="51"/>
      <c r="K123" s="51"/>
      <c r="L123" s="51"/>
      <c r="M123" s="51"/>
      <c r="N123" s="51"/>
      <c r="O123" s="51"/>
      <c r="P123" s="51"/>
      <c r="Q123" s="51"/>
      <c r="R123" s="51"/>
      <c r="S123" s="51"/>
      <c r="T123" s="51"/>
      <c r="U123" s="51"/>
      <c r="V123" s="51"/>
      <c r="W123" s="51"/>
      <c r="X123" s="51"/>
      <c r="Y123" s="51"/>
      <c r="Z123" s="51"/>
    </row>
    <row r="124" spans="1:26" ht="14.25" customHeight="1" x14ac:dyDescent="0.3">
      <c r="A124" s="84"/>
      <c r="B124" s="51"/>
      <c r="C124" s="51"/>
      <c r="D124" s="85"/>
      <c r="E124" s="51"/>
      <c r="F124" s="51"/>
      <c r="G124" s="51"/>
      <c r="H124" s="51"/>
      <c r="I124" s="51"/>
      <c r="J124" s="51"/>
      <c r="K124" s="51"/>
      <c r="L124" s="51"/>
      <c r="M124" s="51"/>
      <c r="N124" s="51"/>
      <c r="O124" s="51"/>
      <c r="P124" s="51"/>
      <c r="Q124" s="51"/>
      <c r="R124" s="51"/>
      <c r="S124" s="51"/>
      <c r="T124" s="51"/>
      <c r="U124" s="51"/>
      <c r="V124" s="51"/>
      <c r="W124" s="51"/>
      <c r="X124" s="51"/>
      <c r="Y124" s="51"/>
      <c r="Z124" s="51"/>
    </row>
    <row r="125" spans="1:26" ht="14.25" customHeight="1" x14ac:dyDescent="0.3">
      <c r="A125" s="84"/>
      <c r="B125" s="51"/>
      <c r="C125" s="51"/>
      <c r="D125" s="85"/>
      <c r="E125" s="51"/>
      <c r="F125" s="51"/>
      <c r="G125" s="51"/>
      <c r="H125" s="51"/>
      <c r="I125" s="51"/>
      <c r="J125" s="51"/>
      <c r="K125" s="51"/>
      <c r="L125" s="51"/>
      <c r="M125" s="51"/>
      <c r="N125" s="51"/>
      <c r="O125" s="51"/>
      <c r="P125" s="51"/>
      <c r="Q125" s="51"/>
      <c r="R125" s="51"/>
      <c r="S125" s="51"/>
      <c r="T125" s="51"/>
      <c r="U125" s="51"/>
      <c r="V125" s="51"/>
      <c r="W125" s="51"/>
      <c r="X125" s="51"/>
      <c r="Y125" s="51"/>
      <c r="Z125" s="51"/>
    </row>
    <row r="126" spans="1:26" ht="14.25" customHeight="1" x14ac:dyDescent="0.3">
      <c r="A126" s="84"/>
      <c r="B126" s="51"/>
      <c r="C126" s="51"/>
      <c r="D126" s="85"/>
      <c r="E126" s="51"/>
      <c r="F126" s="51"/>
      <c r="G126" s="51"/>
      <c r="H126" s="51"/>
      <c r="I126" s="51"/>
      <c r="J126" s="51"/>
      <c r="K126" s="51"/>
      <c r="L126" s="51"/>
      <c r="M126" s="51"/>
      <c r="N126" s="51"/>
      <c r="O126" s="51"/>
      <c r="P126" s="51"/>
      <c r="Q126" s="51"/>
      <c r="R126" s="51"/>
      <c r="S126" s="51"/>
      <c r="T126" s="51"/>
      <c r="U126" s="51"/>
      <c r="V126" s="51"/>
      <c r="W126" s="51"/>
      <c r="X126" s="51"/>
      <c r="Y126" s="51"/>
      <c r="Z126" s="51"/>
    </row>
    <row r="127" spans="1:26" ht="14.25" customHeight="1" x14ac:dyDescent="0.3">
      <c r="A127" s="84"/>
      <c r="B127" s="51"/>
      <c r="C127" s="51"/>
      <c r="D127" s="85"/>
      <c r="E127" s="51"/>
      <c r="F127" s="51"/>
      <c r="G127" s="51"/>
      <c r="H127" s="51"/>
      <c r="I127" s="51"/>
      <c r="J127" s="51"/>
      <c r="K127" s="51"/>
      <c r="L127" s="51"/>
      <c r="M127" s="51"/>
      <c r="N127" s="51"/>
      <c r="O127" s="51"/>
      <c r="P127" s="51"/>
      <c r="Q127" s="51"/>
      <c r="R127" s="51"/>
      <c r="S127" s="51"/>
      <c r="T127" s="51"/>
      <c r="U127" s="51"/>
      <c r="V127" s="51"/>
      <c r="W127" s="51"/>
      <c r="X127" s="51"/>
      <c r="Y127" s="51"/>
      <c r="Z127" s="51"/>
    </row>
    <row r="128" spans="1:26" ht="14.25" customHeight="1" x14ac:dyDescent="0.3">
      <c r="A128" s="84"/>
      <c r="B128" s="51"/>
      <c r="C128" s="51"/>
      <c r="D128" s="85"/>
      <c r="E128" s="51"/>
      <c r="F128" s="51"/>
      <c r="G128" s="51"/>
      <c r="H128" s="51"/>
      <c r="I128" s="51"/>
      <c r="J128" s="51"/>
      <c r="K128" s="51"/>
      <c r="L128" s="51"/>
      <c r="M128" s="51"/>
      <c r="N128" s="51"/>
      <c r="O128" s="51"/>
      <c r="P128" s="51"/>
      <c r="Q128" s="51"/>
      <c r="R128" s="51"/>
      <c r="S128" s="51"/>
      <c r="T128" s="51"/>
      <c r="U128" s="51"/>
      <c r="V128" s="51"/>
      <c r="W128" s="51"/>
      <c r="X128" s="51"/>
      <c r="Y128" s="51"/>
      <c r="Z128" s="51"/>
    </row>
    <row r="129" spans="1:26" ht="14.25" customHeight="1" x14ac:dyDescent="0.3">
      <c r="A129" s="84"/>
      <c r="B129" s="51"/>
      <c r="C129" s="51"/>
      <c r="D129" s="85"/>
      <c r="E129" s="51"/>
      <c r="F129" s="51"/>
      <c r="G129" s="51"/>
      <c r="H129" s="51"/>
      <c r="I129" s="51"/>
      <c r="J129" s="51"/>
      <c r="K129" s="51"/>
      <c r="L129" s="51"/>
      <c r="M129" s="51"/>
      <c r="N129" s="51"/>
      <c r="O129" s="51"/>
      <c r="P129" s="51"/>
      <c r="Q129" s="51"/>
      <c r="R129" s="51"/>
      <c r="S129" s="51"/>
      <c r="T129" s="51"/>
      <c r="U129" s="51"/>
      <c r="V129" s="51"/>
      <c r="W129" s="51"/>
      <c r="X129" s="51"/>
      <c r="Y129" s="51"/>
      <c r="Z129" s="51"/>
    </row>
    <row r="130" spans="1:26" ht="14.25" customHeight="1" x14ac:dyDescent="0.3">
      <c r="A130" s="84"/>
      <c r="B130" s="51"/>
      <c r="C130" s="51"/>
      <c r="D130" s="85"/>
      <c r="E130" s="51"/>
      <c r="F130" s="51"/>
      <c r="G130" s="51"/>
      <c r="H130" s="51"/>
      <c r="I130" s="51"/>
      <c r="J130" s="51"/>
      <c r="K130" s="51"/>
      <c r="L130" s="51"/>
      <c r="M130" s="51"/>
      <c r="N130" s="51"/>
      <c r="O130" s="51"/>
      <c r="P130" s="51"/>
      <c r="Q130" s="51"/>
      <c r="R130" s="51"/>
      <c r="S130" s="51"/>
      <c r="T130" s="51"/>
      <c r="U130" s="51"/>
      <c r="V130" s="51"/>
      <c r="W130" s="51"/>
      <c r="X130" s="51"/>
      <c r="Y130" s="51"/>
      <c r="Z130" s="51"/>
    </row>
    <row r="131" spans="1:26" ht="14.25" customHeight="1" x14ac:dyDescent="0.3">
      <c r="A131" s="84"/>
      <c r="B131" s="51"/>
      <c r="C131" s="51"/>
      <c r="D131" s="85"/>
      <c r="E131" s="51"/>
      <c r="F131" s="51"/>
      <c r="G131" s="51"/>
      <c r="H131" s="51"/>
      <c r="I131" s="51"/>
      <c r="J131" s="51"/>
      <c r="K131" s="51"/>
      <c r="L131" s="51"/>
      <c r="M131" s="51"/>
      <c r="N131" s="51"/>
      <c r="O131" s="51"/>
      <c r="P131" s="51"/>
      <c r="Q131" s="51"/>
      <c r="R131" s="51"/>
      <c r="S131" s="51"/>
      <c r="T131" s="51"/>
      <c r="U131" s="51"/>
      <c r="V131" s="51"/>
      <c r="W131" s="51"/>
      <c r="X131" s="51"/>
      <c r="Y131" s="51"/>
      <c r="Z131" s="51"/>
    </row>
    <row r="132" spans="1:26" ht="14.25" customHeight="1" x14ac:dyDescent="0.3">
      <c r="A132" s="84"/>
      <c r="B132" s="51"/>
      <c r="C132" s="51"/>
      <c r="D132" s="85"/>
      <c r="E132" s="51"/>
      <c r="F132" s="51"/>
      <c r="G132" s="51"/>
      <c r="H132" s="51"/>
      <c r="I132" s="51"/>
      <c r="J132" s="51"/>
      <c r="K132" s="51"/>
      <c r="L132" s="51"/>
      <c r="M132" s="51"/>
      <c r="N132" s="51"/>
      <c r="O132" s="51"/>
      <c r="P132" s="51"/>
      <c r="Q132" s="51"/>
      <c r="R132" s="51"/>
      <c r="S132" s="51"/>
      <c r="T132" s="51"/>
      <c r="U132" s="51"/>
      <c r="V132" s="51"/>
      <c r="W132" s="51"/>
      <c r="X132" s="51"/>
      <c r="Y132" s="51"/>
      <c r="Z132" s="51"/>
    </row>
    <row r="133" spans="1:26" ht="14.25" customHeight="1" x14ac:dyDescent="0.3">
      <c r="A133" s="84"/>
      <c r="B133" s="51"/>
      <c r="C133" s="51"/>
      <c r="D133" s="85"/>
      <c r="E133" s="51"/>
      <c r="F133" s="51"/>
      <c r="G133" s="51"/>
      <c r="H133" s="51"/>
      <c r="I133" s="51"/>
      <c r="J133" s="51"/>
      <c r="K133" s="51"/>
      <c r="L133" s="51"/>
      <c r="M133" s="51"/>
      <c r="N133" s="51"/>
      <c r="O133" s="51"/>
      <c r="P133" s="51"/>
      <c r="Q133" s="51"/>
      <c r="R133" s="51"/>
      <c r="S133" s="51"/>
      <c r="T133" s="51"/>
      <c r="U133" s="51"/>
      <c r="V133" s="51"/>
      <c r="W133" s="51"/>
      <c r="X133" s="51"/>
      <c r="Y133" s="51"/>
      <c r="Z133" s="51"/>
    </row>
    <row r="134" spans="1:26" ht="14.25" customHeight="1" x14ac:dyDescent="0.3">
      <c r="A134" s="84"/>
      <c r="B134" s="51"/>
      <c r="C134" s="51"/>
      <c r="D134" s="85"/>
      <c r="E134" s="51"/>
      <c r="F134" s="51"/>
      <c r="G134" s="51"/>
      <c r="H134" s="51"/>
      <c r="I134" s="51"/>
      <c r="J134" s="51"/>
      <c r="K134" s="51"/>
      <c r="L134" s="51"/>
      <c r="M134" s="51"/>
      <c r="N134" s="51"/>
      <c r="O134" s="51"/>
      <c r="P134" s="51"/>
      <c r="Q134" s="51"/>
      <c r="R134" s="51"/>
      <c r="S134" s="51"/>
      <c r="T134" s="51"/>
      <c r="U134" s="51"/>
      <c r="V134" s="51"/>
      <c r="W134" s="51"/>
      <c r="X134" s="51"/>
      <c r="Y134" s="51"/>
      <c r="Z134" s="51"/>
    </row>
    <row r="135" spans="1:26" ht="14.25" customHeight="1" x14ac:dyDescent="0.3">
      <c r="A135" s="84"/>
      <c r="B135" s="51"/>
      <c r="C135" s="51"/>
      <c r="D135" s="85"/>
      <c r="E135" s="51"/>
      <c r="F135" s="51"/>
      <c r="G135" s="51"/>
      <c r="H135" s="51"/>
      <c r="I135" s="51"/>
      <c r="J135" s="51"/>
      <c r="K135" s="51"/>
      <c r="L135" s="51"/>
      <c r="M135" s="51"/>
      <c r="N135" s="51"/>
      <c r="O135" s="51"/>
      <c r="P135" s="51"/>
      <c r="Q135" s="51"/>
      <c r="R135" s="51"/>
      <c r="S135" s="51"/>
      <c r="T135" s="51"/>
      <c r="U135" s="51"/>
      <c r="V135" s="51"/>
      <c r="W135" s="51"/>
      <c r="X135" s="51"/>
      <c r="Y135" s="51"/>
      <c r="Z135" s="51"/>
    </row>
    <row r="136" spans="1:26" ht="14.25" customHeight="1" x14ac:dyDescent="0.3">
      <c r="A136" s="84"/>
      <c r="B136" s="51"/>
      <c r="C136" s="51"/>
      <c r="D136" s="85"/>
      <c r="E136" s="51"/>
      <c r="F136" s="51"/>
      <c r="G136" s="51"/>
      <c r="H136" s="51"/>
      <c r="I136" s="51"/>
      <c r="J136" s="51"/>
      <c r="K136" s="51"/>
      <c r="L136" s="51"/>
      <c r="M136" s="51"/>
      <c r="N136" s="51"/>
      <c r="O136" s="51"/>
      <c r="P136" s="51"/>
      <c r="Q136" s="51"/>
      <c r="R136" s="51"/>
      <c r="S136" s="51"/>
      <c r="T136" s="51"/>
      <c r="U136" s="51"/>
      <c r="V136" s="51"/>
      <c r="W136" s="51"/>
      <c r="X136" s="51"/>
      <c r="Y136" s="51"/>
      <c r="Z136" s="51"/>
    </row>
    <row r="137" spans="1:26" ht="14.25" customHeight="1" x14ac:dyDescent="0.3">
      <c r="A137" s="84"/>
      <c r="B137" s="51"/>
      <c r="C137" s="51"/>
      <c r="D137" s="85"/>
      <c r="E137" s="51"/>
      <c r="F137" s="51"/>
      <c r="G137" s="51"/>
      <c r="H137" s="51"/>
      <c r="I137" s="51"/>
      <c r="J137" s="51"/>
      <c r="K137" s="51"/>
      <c r="L137" s="51"/>
      <c r="M137" s="51"/>
      <c r="N137" s="51"/>
      <c r="O137" s="51"/>
      <c r="P137" s="51"/>
      <c r="Q137" s="51"/>
      <c r="R137" s="51"/>
      <c r="S137" s="51"/>
      <c r="T137" s="51"/>
      <c r="U137" s="51"/>
      <c r="V137" s="51"/>
      <c r="W137" s="51"/>
      <c r="X137" s="51"/>
      <c r="Y137" s="51"/>
      <c r="Z137" s="51"/>
    </row>
    <row r="138" spans="1:26" ht="14.25" customHeight="1" x14ac:dyDescent="0.3">
      <c r="A138" s="84"/>
      <c r="B138" s="51"/>
      <c r="C138" s="51"/>
      <c r="D138" s="85"/>
      <c r="E138" s="51"/>
      <c r="F138" s="51"/>
      <c r="G138" s="51"/>
      <c r="H138" s="51"/>
      <c r="I138" s="51"/>
      <c r="J138" s="51"/>
      <c r="K138" s="51"/>
      <c r="L138" s="51"/>
      <c r="M138" s="51"/>
      <c r="N138" s="51"/>
      <c r="O138" s="51"/>
      <c r="P138" s="51"/>
      <c r="Q138" s="51"/>
      <c r="R138" s="51"/>
      <c r="S138" s="51"/>
      <c r="T138" s="51"/>
      <c r="U138" s="51"/>
      <c r="V138" s="51"/>
      <c r="W138" s="51"/>
      <c r="X138" s="51"/>
      <c r="Y138" s="51"/>
      <c r="Z138" s="51"/>
    </row>
    <row r="139" spans="1:26" ht="14.25" customHeight="1" x14ac:dyDescent="0.3">
      <c r="A139" s="84"/>
      <c r="B139" s="51"/>
      <c r="C139" s="51"/>
      <c r="D139" s="85"/>
      <c r="E139" s="51"/>
      <c r="F139" s="51"/>
      <c r="G139" s="51"/>
      <c r="H139" s="51"/>
      <c r="I139" s="51"/>
      <c r="J139" s="51"/>
      <c r="K139" s="51"/>
      <c r="L139" s="51"/>
      <c r="M139" s="51"/>
      <c r="N139" s="51"/>
      <c r="O139" s="51"/>
      <c r="P139" s="51"/>
      <c r="Q139" s="51"/>
      <c r="R139" s="51"/>
      <c r="S139" s="51"/>
      <c r="T139" s="51"/>
      <c r="U139" s="51"/>
      <c r="V139" s="51"/>
      <c r="W139" s="51"/>
      <c r="X139" s="51"/>
      <c r="Y139" s="51"/>
      <c r="Z139" s="51"/>
    </row>
    <row r="140" spans="1:26" ht="14.25" customHeight="1" x14ac:dyDescent="0.3">
      <c r="A140" s="84"/>
      <c r="B140" s="51"/>
      <c r="C140" s="51"/>
      <c r="D140" s="85"/>
      <c r="E140" s="51"/>
      <c r="F140" s="51"/>
      <c r="G140" s="51"/>
      <c r="H140" s="51"/>
      <c r="I140" s="51"/>
      <c r="J140" s="51"/>
      <c r="K140" s="51"/>
      <c r="L140" s="51"/>
      <c r="M140" s="51"/>
      <c r="N140" s="51"/>
      <c r="O140" s="51"/>
      <c r="P140" s="51"/>
      <c r="Q140" s="51"/>
      <c r="R140" s="51"/>
      <c r="S140" s="51"/>
      <c r="T140" s="51"/>
      <c r="U140" s="51"/>
      <c r="V140" s="51"/>
      <c r="W140" s="51"/>
      <c r="X140" s="51"/>
      <c r="Y140" s="51"/>
      <c r="Z140" s="51"/>
    </row>
    <row r="141" spans="1:26" ht="14.25" customHeight="1" x14ac:dyDescent="0.3">
      <c r="A141" s="84"/>
      <c r="B141" s="51"/>
      <c r="C141" s="51"/>
      <c r="D141" s="85"/>
      <c r="E141" s="51"/>
      <c r="F141" s="51"/>
      <c r="G141" s="51"/>
      <c r="H141" s="51"/>
      <c r="I141" s="51"/>
      <c r="J141" s="51"/>
      <c r="K141" s="51"/>
      <c r="L141" s="51"/>
      <c r="M141" s="51"/>
      <c r="N141" s="51"/>
      <c r="O141" s="51"/>
      <c r="P141" s="51"/>
      <c r="Q141" s="51"/>
      <c r="R141" s="51"/>
      <c r="S141" s="51"/>
      <c r="T141" s="51"/>
      <c r="U141" s="51"/>
      <c r="V141" s="51"/>
      <c r="W141" s="51"/>
      <c r="X141" s="51"/>
      <c r="Y141" s="51"/>
      <c r="Z141" s="51"/>
    </row>
    <row r="142" spans="1:26" ht="14.25" customHeight="1" x14ac:dyDescent="0.3">
      <c r="A142" s="84"/>
      <c r="B142" s="51"/>
      <c r="C142" s="51"/>
      <c r="D142" s="85"/>
      <c r="E142" s="51"/>
      <c r="F142" s="51"/>
      <c r="G142" s="51"/>
      <c r="H142" s="51"/>
      <c r="I142" s="51"/>
      <c r="J142" s="51"/>
      <c r="K142" s="51"/>
      <c r="L142" s="51"/>
      <c r="M142" s="51"/>
      <c r="N142" s="51"/>
      <c r="O142" s="51"/>
      <c r="P142" s="51"/>
      <c r="Q142" s="51"/>
      <c r="R142" s="51"/>
      <c r="S142" s="51"/>
      <c r="T142" s="51"/>
      <c r="U142" s="51"/>
      <c r="V142" s="51"/>
      <c r="W142" s="51"/>
      <c r="X142" s="51"/>
      <c r="Y142" s="51"/>
      <c r="Z142" s="51"/>
    </row>
    <row r="143" spans="1:26" ht="14.25" customHeight="1" x14ac:dyDescent="0.3">
      <c r="A143" s="84"/>
      <c r="B143" s="51"/>
      <c r="C143" s="51"/>
      <c r="D143" s="85"/>
      <c r="E143" s="51"/>
      <c r="F143" s="51"/>
      <c r="G143" s="51"/>
      <c r="H143" s="51"/>
      <c r="I143" s="51"/>
      <c r="J143" s="51"/>
      <c r="K143" s="51"/>
      <c r="L143" s="51"/>
      <c r="M143" s="51"/>
      <c r="N143" s="51"/>
      <c r="O143" s="51"/>
      <c r="P143" s="51"/>
      <c r="Q143" s="51"/>
      <c r="R143" s="51"/>
      <c r="S143" s="51"/>
      <c r="T143" s="51"/>
      <c r="U143" s="51"/>
      <c r="V143" s="51"/>
      <c r="W143" s="51"/>
      <c r="X143" s="51"/>
      <c r="Y143" s="51"/>
      <c r="Z143" s="51"/>
    </row>
    <row r="144" spans="1:26" ht="14.25" customHeight="1" x14ac:dyDescent="0.3">
      <c r="A144" s="84"/>
      <c r="B144" s="51"/>
      <c r="C144" s="51"/>
      <c r="D144" s="85"/>
      <c r="E144" s="51"/>
      <c r="F144" s="51"/>
      <c r="G144" s="51"/>
      <c r="H144" s="51"/>
      <c r="I144" s="51"/>
      <c r="J144" s="51"/>
      <c r="K144" s="51"/>
      <c r="L144" s="51"/>
      <c r="M144" s="51"/>
      <c r="N144" s="51"/>
      <c r="O144" s="51"/>
      <c r="P144" s="51"/>
      <c r="Q144" s="51"/>
      <c r="R144" s="51"/>
      <c r="S144" s="51"/>
      <c r="T144" s="51"/>
      <c r="U144" s="51"/>
      <c r="V144" s="51"/>
      <c r="W144" s="51"/>
      <c r="X144" s="51"/>
      <c r="Y144" s="51"/>
      <c r="Z144" s="51"/>
    </row>
    <row r="145" spans="1:26" ht="14.25" customHeight="1" x14ac:dyDescent="0.3">
      <c r="A145" s="84"/>
      <c r="B145" s="51"/>
      <c r="C145" s="51"/>
      <c r="D145" s="85"/>
      <c r="E145" s="51"/>
      <c r="F145" s="51"/>
      <c r="G145" s="51"/>
      <c r="H145" s="51"/>
      <c r="I145" s="51"/>
      <c r="J145" s="51"/>
      <c r="K145" s="51"/>
      <c r="L145" s="51"/>
      <c r="M145" s="51"/>
      <c r="N145" s="51"/>
      <c r="O145" s="51"/>
      <c r="P145" s="51"/>
      <c r="Q145" s="51"/>
      <c r="R145" s="51"/>
      <c r="S145" s="51"/>
      <c r="T145" s="51"/>
      <c r="U145" s="51"/>
      <c r="V145" s="51"/>
      <c r="W145" s="51"/>
      <c r="X145" s="51"/>
      <c r="Y145" s="51"/>
      <c r="Z145" s="51"/>
    </row>
    <row r="146" spans="1:26" ht="14.25" customHeight="1" x14ac:dyDescent="0.3">
      <c r="A146" s="84"/>
      <c r="B146" s="51"/>
      <c r="C146" s="51"/>
      <c r="D146" s="85"/>
      <c r="E146" s="51"/>
      <c r="F146" s="51"/>
      <c r="G146" s="51"/>
      <c r="H146" s="51"/>
      <c r="I146" s="51"/>
      <c r="J146" s="51"/>
      <c r="K146" s="51"/>
      <c r="L146" s="51"/>
      <c r="M146" s="51"/>
      <c r="N146" s="51"/>
      <c r="O146" s="51"/>
      <c r="P146" s="51"/>
      <c r="Q146" s="51"/>
      <c r="R146" s="51"/>
      <c r="S146" s="51"/>
      <c r="T146" s="51"/>
      <c r="U146" s="51"/>
      <c r="V146" s="51"/>
      <c r="W146" s="51"/>
      <c r="X146" s="51"/>
      <c r="Y146" s="51"/>
      <c r="Z146" s="51"/>
    </row>
    <row r="147" spans="1:26" ht="14.25" customHeight="1" x14ac:dyDescent="0.3">
      <c r="A147" s="84"/>
      <c r="B147" s="51"/>
      <c r="C147" s="51"/>
      <c r="D147" s="85"/>
      <c r="E147" s="51"/>
      <c r="F147" s="51"/>
      <c r="G147" s="51"/>
      <c r="H147" s="51"/>
      <c r="I147" s="51"/>
      <c r="J147" s="51"/>
      <c r="K147" s="51"/>
      <c r="L147" s="51"/>
      <c r="M147" s="51"/>
      <c r="N147" s="51"/>
      <c r="O147" s="51"/>
      <c r="P147" s="51"/>
      <c r="Q147" s="51"/>
      <c r="R147" s="51"/>
      <c r="S147" s="51"/>
      <c r="T147" s="51"/>
      <c r="U147" s="51"/>
      <c r="V147" s="51"/>
      <c r="W147" s="51"/>
      <c r="X147" s="51"/>
      <c r="Y147" s="51"/>
      <c r="Z147" s="51"/>
    </row>
    <row r="148" spans="1:26" ht="14.25" customHeight="1" x14ac:dyDescent="0.3">
      <c r="A148" s="84"/>
      <c r="B148" s="51"/>
      <c r="C148" s="51"/>
      <c r="D148" s="85"/>
      <c r="E148" s="51"/>
      <c r="F148" s="51"/>
      <c r="G148" s="51"/>
      <c r="H148" s="51"/>
      <c r="I148" s="51"/>
      <c r="J148" s="51"/>
      <c r="K148" s="51"/>
      <c r="L148" s="51"/>
      <c r="M148" s="51"/>
      <c r="N148" s="51"/>
      <c r="O148" s="51"/>
      <c r="P148" s="51"/>
      <c r="Q148" s="51"/>
      <c r="R148" s="51"/>
      <c r="S148" s="51"/>
      <c r="T148" s="51"/>
      <c r="U148" s="51"/>
      <c r="V148" s="51"/>
      <c r="W148" s="51"/>
      <c r="X148" s="51"/>
      <c r="Y148" s="51"/>
      <c r="Z148" s="51"/>
    </row>
    <row r="149" spans="1:26" ht="14.25" customHeight="1" x14ac:dyDescent="0.3">
      <c r="A149" s="84"/>
      <c r="B149" s="51"/>
      <c r="C149" s="51"/>
      <c r="D149" s="85"/>
      <c r="E149" s="51"/>
      <c r="F149" s="51"/>
      <c r="G149" s="51"/>
      <c r="H149" s="51"/>
      <c r="I149" s="51"/>
      <c r="J149" s="51"/>
      <c r="K149" s="51"/>
      <c r="L149" s="51"/>
      <c r="M149" s="51"/>
      <c r="N149" s="51"/>
      <c r="O149" s="51"/>
      <c r="P149" s="51"/>
      <c r="Q149" s="51"/>
      <c r="R149" s="51"/>
      <c r="S149" s="51"/>
      <c r="T149" s="51"/>
      <c r="U149" s="51"/>
      <c r="V149" s="51"/>
      <c r="W149" s="51"/>
      <c r="X149" s="51"/>
      <c r="Y149" s="51"/>
      <c r="Z149" s="51"/>
    </row>
    <row r="150" spans="1:26" ht="14.25" customHeight="1" x14ac:dyDescent="0.3">
      <c r="A150" s="84"/>
      <c r="B150" s="51"/>
      <c r="C150" s="51"/>
      <c r="D150" s="85"/>
      <c r="E150" s="51"/>
      <c r="F150" s="51"/>
      <c r="G150" s="51"/>
      <c r="H150" s="51"/>
      <c r="I150" s="51"/>
      <c r="J150" s="51"/>
      <c r="K150" s="51"/>
      <c r="L150" s="51"/>
      <c r="M150" s="51"/>
      <c r="N150" s="51"/>
      <c r="O150" s="51"/>
      <c r="P150" s="51"/>
      <c r="Q150" s="51"/>
      <c r="R150" s="51"/>
      <c r="S150" s="51"/>
      <c r="T150" s="51"/>
      <c r="U150" s="51"/>
      <c r="V150" s="51"/>
      <c r="W150" s="51"/>
      <c r="X150" s="51"/>
      <c r="Y150" s="51"/>
      <c r="Z150" s="51"/>
    </row>
    <row r="151" spans="1:26" ht="14.25" customHeight="1" x14ac:dyDescent="0.3">
      <c r="A151" s="84"/>
      <c r="B151" s="51"/>
      <c r="C151" s="51"/>
      <c r="D151" s="85"/>
      <c r="E151" s="51"/>
      <c r="F151" s="51"/>
      <c r="G151" s="51"/>
      <c r="H151" s="51"/>
      <c r="I151" s="51"/>
      <c r="J151" s="51"/>
      <c r="K151" s="51"/>
      <c r="L151" s="51"/>
      <c r="M151" s="51"/>
      <c r="N151" s="51"/>
      <c r="O151" s="51"/>
      <c r="P151" s="51"/>
      <c r="Q151" s="51"/>
      <c r="R151" s="51"/>
      <c r="S151" s="51"/>
      <c r="T151" s="51"/>
      <c r="U151" s="51"/>
      <c r="V151" s="51"/>
      <c r="W151" s="51"/>
      <c r="X151" s="51"/>
      <c r="Y151" s="51"/>
      <c r="Z151" s="51"/>
    </row>
    <row r="152" spans="1:26" ht="14.25" customHeight="1" x14ac:dyDescent="0.3">
      <c r="A152" s="84"/>
      <c r="B152" s="51"/>
      <c r="C152" s="51"/>
      <c r="D152" s="85"/>
      <c r="E152" s="51"/>
      <c r="F152" s="51"/>
      <c r="G152" s="51"/>
      <c r="H152" s="51"/>
      <c r="I152" s="51"/>
      <c r="J152" s="51"/>
      <c r="K152" s="51"/>
      <c r="L152" s="51"/>
      <c r="M152" s="51"/>
      <c r="N152" s="51"/>
      <c r="O152" s="51"/>
      <c r="P152" s="51"/>
      <c r="Q152" s="51"/>
      <c r="R152" s="51"/>
      <c r="S152" s="51"/>
      <c r="T152" s="51"/>
      <c r="U152" s="51"/>
      <c r="V152" s="51"/>
      <c r="W152" s="51"/>
      <c r="X152" s="51"/>
      <c r="Y152" s="51"/>
      <c r="Z152" s="51"/>
    </row>
    <row r="153" spans="1:26" ht="14.25" customHeight="1" x14ac:dyDescent="0.3">
      <c r="A153" s="84"/>
      <c r="B153" s="51"/>
      <c r="C153" s="51"/>
      <c r="D153" s="85"/>
      <c r="E153" s="51"/>
      <c r="F153" s="51"/>
      <c r="G153" s="51"/>
      <c r="H153" s="51"/>
      <c r="I153" s="51"/>
      <c r="J153" s="51"/>
      <c r="K153" s="51"/>
      <c r="L153" s="51"/>
      <c r="M153" s="51"/>
      <c r="N153" s="51"/>
      <c r="O153" s="51"/>
      <c r="P153" s="51"/>
      <c r="Q153" s="51"/>
      <c r="R153" s="51"/>
      <c r="S153" s="51"/>
      <c r="T153" s="51"/>
      <c r="U153" s="51"/>
      <c r="V153" s="51"/>
      <c r="W153" s="51"/>
      <c r="X153" s="51"/>
      <c r="Y153" s="51"/>
      <c r="Z153" s="51"/>
    </row>
    <row r="154" spans="1:26" ht="14.25" customHeight="1" x14ac:dyDescent="0.3">
      <c r="A154" s="84"/>
      <c r="B154" s="51"/>
      <c r="C154" s="51"/>
      <c r="D154" s="85"/>
      <c r="E154" s="51"/>
      <c r="F154" s="51"/>
      <c r="G154" s="51"/>
      <c r="H154" s="51"/>
      <c r="I154" s="51"/>
      <c r="J154" s="51"/>
      <c r="K154" s="51"/>
      <c r="L154" s="51"/>
      <c r="M154" s="51"/>
      <c r="N154" s="51"/>
      <c r="O154" s="51"/>
      <c r="P154" s="51"/>
      <c r="Q154" s="51"/>
      <c r="R154" s="51"/>
      <c r="S154" s="51"/>
      <c r="T154" s="51"/>
      <c r="U154" s="51"/>
      <c r="V154" s="51"/>
      <c r="W154" s="51"/>
      <c r="X154" s="51"/>
      <c r="Y154" s="51"/>
      <c r="Z154" s="51"/>
    </row>
    <row r="155" spans="1:26" ht="14.25" customHeight="1" x14ac:dyDescent="0.3">
      <c r="A155" s="84"/>
      <c r="B155" s="51"/>
      <c r="C155" s="51"/>
      <c r="D155" s="85"/>
      <c r="E155" s="51"/>
      <c r="F155" s="51"/>
      <c r="G155" s="51"/>
      <c r="H155" s="51"/>
      <c r="I155" s="51"/>
      <c r="J155" s="51"/>
      <c r="K155" s="51"/>
      <c r="L155" s="51"/>
      <c r="M155" s="51"/>
      <c r="N155" s="51"/>
      <c r="O155" s="51"/>
      <c r="P155" s="51"/>
      <c r="Q155" s="51"/>
      <c r="R155" s="51"/>
      <c r="S155" s="51"/>
      <c r="T155" s="51"/>
      <c r="U155" s="51"/>
      <c r="V155" s="51"/>
      <c r="W155" s="51"/>
      <c r="X155" s="51"/>
      <c r="Y155" s="51"/>
      <c r="Z155" s="51"/>
    </row>
    <row r="156" spans="1:26" ht="14.25" customHeight="1" x14ac:dyDescent="0.3">
      <c r="A156" s="84"/>
      <c r="B156" s="51"/>
      <c r="C156" s="51"/>
      <c r="D156" s="85"/>
      <c r="E156" s="51"/>
      <c r="F156" s="51"/>
      <c r="G156" s="51"/>
      <c r="H156" s="51"/>
      <c r="I156" s="51"/>
      <c r="J156" s="51"/>
      <c r="K156" s="51"/>
      <c r="L156" s="51"/>
      <c r="M156" s="51"/>
      <c r="N156" s="51"/>
      <c r="O156" s="51"/>
      <c r="P156" s="51"/>
      <c r="Q156" s="51"/>
      <c r="R156" s="51"/>
      <c r="S156" s="51"/>
      <c r="T156" s="51"/>
      <c r="U156" s="51"/>
      <c r="V156" s="51"/>
      <c r="W156" s="51"/>
      <c r="X156" s="51"/>
      <c r="Y156" s="51"/>
      <c r="Z156" s="51"/>
    </row>
    <row r="157" spans="1:26" ht="14.25" customHeight="1" x14ac:dyDescent="0.3">
      <c r="A157" s="84"/>
      <c r="B157" s="51"/>
      <c r="C157" s="51"/>
      <c r="D157" s="85"/>
      <c r="E157" s="51"/>
      <c r="F157" s="51"/>
      <c r="G157" s="51"/>
      <c r="H157" s="51"/>
      <c r="I157" s="51"/>
      <c r="J157" s="51"/>
      <c r="K157" s="51"/>
      <c r="L157" s="51"/>
      <c r="M157" s="51"/>
      <c r="N157" s="51"/>
      <c r="O157" s="51"/>
      <c r="P157" s="51"/>
      <c r="Q157" s="51"/>
      <c r="R157" s="51"/>
      <c r="S157" s="51"/>
      <c r="T157" s="51"/>
      <c r="U157" s="51"/>
      <c r="V157" s="51"/>
      <c r="W157" s="51"/>
      <c r="X157" s="51"/>
      <c r="Y157" s="51"/>
      <c r="Z157" s="51"/>
    </row>
    <row r="158" spans="1:26" ht="14.25" customHeight="1" x14ac:dyDescent="0.3">
      <c r="A158" s="84"/>
      <c r="B158" s="51"/>
      <c r="C158" s="51"/>
      <c r="D158" s="85"/>
      <c r="E158" s="51"/>
      <c r="F158" s="51"/>
      <c r="G158" s="51"/>
      <c r="H158" s="51"/>
      <c r="I158" s="51"/>
      <c r="J158" s="51"/>
      <c r="K158" s="51"/>
      <c r="L158" s="51"/>
      <c r="M158" s="51"/>
      <c r="N158" s="51"/>
      <c r="O158" s="51"/>
      <c r="P158" s="51"/>
      <c r="Q158" s="51"/>
      <c r="R158" s="51"/>
      <c r="S158" s="51"/>
      <c r="T158" s="51"/>
      <c r="U158" s="51"/>
      <c r="V158" s="51"/>
      <c r="W158" s="51"/>
      <c r="X158" s="51"/>
      <c r="Y158" s="51"/>
      <c r="Z158" s="51"/>
    </row>
    <row r="159" spans="1:26" ht="14.25" customHeight="1" x14ac:dyDescent="0.3">
      <c r="A159" s="84"/>
      <c r="B159" s="51"/>
      <c r="C159" s="51"/>
      <c r="D159" s="85"/>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ht="14.25" customHeight="1" x14ac:dyDescent="0.3">
      <c r="A160" s="84"/>
      <c r="B160" s="51"/>
      <c r="C160" s="51"/>
      <c r="D160" s="85"/>
      <c r="E160" s="51"/>
      <c r="F160" s="51"/>
      <c r="G160" s="51"/>
      <c r="H160" s="51"/>
      <c r="I160" s="51"/>
      <c r="J160" s="51"/>
      <c r="K160" s="51"/>
      <c r="L160" s="51"/>
      <c r="M160" s="51"/>
      <c r="N160" s="51"/>
      <c r="O160" s="51"/>
      <c r="P160" s="51"/>
      <c r="Q160" s="51"/>
      <c r="R160" s="51"/>
      <c r="S160" s="51"/>
      <c r="T160" s="51"/>
      <c r="U160" s="51"/>
      <c r="V160" s="51"/>
      <c r="W160" s="51"/>
      <c r="X160" s="51"/>
      <c r="Y160" s="51"/>
      <c r="Z160" s="51"/>
    </row>
    <row r="161" spans="1:26" ht="14.25" customHeight="1" x14ac:dyDescent="0.3">
      <c r="A161" s="84"/>
      <c r="B161" s="51"/>
      <c r="C161" s="51"/>
      <c r="D161" s="85"/>
      <c r="E161" s="51"/>
      <c r="F161" s="51"/>
      <c r="G161" s="51"/>
      <c r="H161" s="51"/>
      <c r="I161" s="51"/>
      <c r="J161" s="51"/>
      <c r="K161" s="51"/>
      <c r="L161" s="51"/>
      <c r="M161" s="51"/>
      <c r="N161" s="51"/>
      <c r="O161" s="51"/>
      <c r="P161" s="51"/>
      <c r="Q161" s="51"/>
      <c r="R161" s="51"/>
      <c r="S161" s="51"/>
      <c r="T161" s="51"/>
      <c r="U161" s="51"/>
      <c r="V161" s="51"/>
      <c r="W161" s="51"/>
      <c r="X161" s="51"/>
      <c r="Y161" s="51"/>
      <c r="Z161" s="51"/>
    </row>
    <row r="162" spans="1:26" ht="14.25" customHeight="1" x14ac:dyDescent="0.3">
      <c r="A162" s="84"/>
      <c r="B162" s="51"/>
      <c r="C162" s="51"/>
      <c r="D162" s="85"/>
      <c r="E162" s="51"/>
      <c r="F162" s="51"/>
      <c r="G162" s="51"/>
      <c r="H162" s="51"/>
      <c r="I162" s="51"/>
      <c r="J162" s="51"/>
      <c r="K162" s="51"/>
      <c r="L162" s="51"/>
      <c r="M162" s="51"/>
      <c r="N162" s="51"/>
      <c r="O162" s="51"/>
      <c r="P162" s="51"/>
      <c r="Q162" s="51"/>
      <c r="R162" s="51"/>
      <c r="S162" s="51"/>
      <c r="T162" s="51"/>
      <c r="U162" s="51"/>
      <c r="V162" s="51"/>
      <c r="W162" s="51"/>
      <c r="X162" s="51"/>
      <c r="Y162" s="51"/>
      <c r="Z162" s="51"/>
    </row>
    <row r="163" spans="1:26" ht="14.25" customHeight="1" x14ac:dyDescent="0.3">
      <c r="A163" s="84"/>
      <c r="B163" s="51"/>
      <c r="C163" s="51"/>
      <c r="D163" s="85"/>
      <c r="E163" s="51"/>
      <c r="F163" s="51"/>
      <c r="G163" s="51"/>
      <c r="H163" s="51"/>
      <c r="I163" s="51"/>
      <c r="J163" s="51"/>
      <c r="K163" s="51"/>
      <c r="L163" s="51"/>
      <c r="M163" s="51"/>
      <c r="N163" s="51"/>
      <c r="O163" s="51"/>
      <c r="P163" s="51"/>
      <c r="Q163" s="51"/>
      <c r="R163" s="51"/>
      <c r="S163" s="51"/>
      <c r="T163" s="51"/>
      <c r="U163" s="51"/>
      <c r="V163" s="51"/>
      <c r="W163" s="51"/>
      <c r="X163" s="51"/>
      <c r="Y163" s="51"/>
      <c r="Z163" s="51"/>
    </row>
    <row r="164" spans="1:26" ht="14.25" customHeight="1" x14ac:dyDescent="0.3">
      <c r="A164" s="84"/>
      <c r="B164" s="51"/>
      <c r="C164" s="51"/>
      <c r="D164" s="85"/>
      <c r="E164" s="51"/>
      <c r="F164" s="51"/>
      <c r="G164" s="51"/>
      <c r="H164" s="51"/>
      <c r="I164" s="51"/>
      <c r="J164" s="51"/>
      <c r="K164" s="51"/>
      <c r="L164" s="51"/>
      <c r="M164" s="51"/>
      <c r="N164" s="51"/>
      <c r="O164" s="51"/>
      <c r="P164" s="51"/>
      <c r="Q164" s="51"/>
      <c r="R164" s="51"/>
      <c r="S164" s="51"/>
      <c r="T164" s="51"/>
      <c r="U164" s="51"/>
      <c r="V164" s="51"/>
      <c r="W164" s="51"/>
      <c r="X164" s="51"/>
      <c r="Y164" s="51"/>
      <c r="Z164" s="51"/>
    </row>
    <row r="165" spans="1:26" ht="14.25" customHeight="1" x14ac:dyDescent="0.3">
      <c r="A165" s="84"/>
      <c r="B165" s="51"/>
      <c r="C165" s="51"/>
      <c r="D165" s="85"/>
      <c r="E165" s="51"/>
      <c r="F165" s="51"/>
      <c r="G165" s="51"/>
      <c r="H165" s="51"/>
      <c r="I165" s="51"/>
      <c r="J165" s="51"/>
      <c r="K165" s="51"/>
      <c r="L165" s="51"/>
      <c r="M165" s="51"/>
      <c r="N165" s="51"/>
      <c r="O165" s="51"/>
      <c r="P165" s="51"/>
      <c r="Q165" s="51"/>
      <c r="R165" s="51"/>
      <c r="S165" s="51"/>
      <c r="T165" s="51"/>
      <c r="U165" s="51"/>
      <c r="V165" s="51"/>
      <c r="W165" s="51"/>
      <c r="X165" s="51"/>
      <c r="Y165" s="51"/>
      <c r="Z165" s="51"/>
    </row>
    <row r="166" spans="1:26" ht="14.25" customHeight="1" x14ac:dyDescent="0.3">
      <c r="A166" s="84"/>
      <c r="B166" s="51"/>
      <c r="C166" s="51"/>
      <c r="D166" s="85"/>
      <c r="E166" s="51"/>
      <c r="F166" s="51"/>
      <c r="G166" s="51"/>
      <c r="H166" s="51"/>
      <c r="I166" s="51"/>
      <c r="J166" s="51"/>
      <c r="K166" s="51"/>
      <c r="L166" s="51"/>
      <c r="M166" s="51"/>
      <c r="N166" s="51"/>
      <c r="O166" s="51"/>
      <c r="P166" s="51"/>
      <c r="Q166" s="51"/>
      <c r="R166" s="51"/>
      <c r="S166" s="51"/>
      <c r="T166" s="51"/>
      <c r="U166" s="51"/>
      <c r="V166" s="51"/>
      <c r="W166" s="51"/>
      <c r="X166" s="51"/>
      <c r="Y166" s="51"/>
      <c r="Z166" s="51"/>
    </row>
    <row r="167" spans="1:26" ht="14.25" customHeight="1" x14ac:dyDescent="0.3">
      <c r="A167" s="84"/>
      <c r="B167" s="51"/>
      <c r="C167" s="51"/>
      <c r="D167" s="85"/>
      <c r="E167" s="51"/>
      <c r="F167" s="51"/>
      <c r="G167" s="51"/>
      <c r="H167" s="51"/>
      <c r="I167" s="51"/>
      <c r="J167" s="51"/>
      <c r="K167" s="51"/>
      <c r="L167" s="51"/>
      <c r="M167" s="51"/>
      <c r="N167" s="51"/>
      <c r="O167" s="51"/>
      <c r="P167" s="51"/>
      <c r="Q167" s="51"/>
      <c r="R167" s="51"/>
      <c r="S167" s="51"/>
      <c r="T167" s="51"/>
      <c r="U167" s="51"/>
      <c r="V167" s="51"/>
      <c r="W167" s="51"/>
      <c r="X167" s="51"/>
      <c r="Y167" s="51"/>
      <c r="Z167" s="51"/>
    </row>
    <row r="168" spans="1:26" ht="14.25" customHeight="1" x14ac:dyDescent="0.3">
      <c r="A168" s="84"/>
      <c r="B168" s="51"/>
      <c r="C168" s="51"/>
      <c r="D168" s="85"/>
      <c r="E168" s="51"/>
      <c r="F168" s="51"/>
      <c r="G168" s="51"/>
      <c r="H168" s="51"/>
      <c r="I168" s="51"/>
      <c r="J168" s="51"/>
      <c r="K168" s="51"/>
      <c r="L168" s="51"/>
      <c r="M168" s="51"/>
      <c r="N168" s="51"/>
      <c r="O168" s="51"/>
      <c r="P168" s="51"/>
      <c r="Q168" s="51"/>
      <c r="R168" s="51"/>
      <c r="S168" s="51"/>
      <c r="T168" s="51"/>
      <c r="U168" s="51"/>
      <c r="V168" s="51"/>
      <c r="W168" s="51"/>
      <c r="X168" s="51"/>
      <c r="Y168" s="51"/>
      <c r="Z168" s="51"/>
    </row>
    <row r="169" spans="1:26" ht="14.25" customHeight="1" x14ac:dyDescent="0.3">
      <c r="A169" s="84"/>
      <c r="B169" s="51"/>
      <c r="C169" s="51"/>
      <c r="D169" s="85"/>
      <c r="E169" s="51"/>
      <c r="F169" s="51"/>
      <c r="G169" s="51"/>
      <c r="H169" s="51"/>
      <c r="I169" s="51"/>
      <c r="J169" s="51"/>
      <c r="K169" s="51"/>
      <c r="L169" s="51"/>
      <c r="M169" s="51"/>
      <c r="N169" s="51"/>
      <c r="O169" s="51"/>
      <c r="P169" s="51"/>
      <c r="Q169" s="51"/>
      <c r="R169" s="51"/>
      <c r="S169" s="51"/>
      <c r="T169" s="51"/>
      <c r="U169" s="51"/>
      <c r="V169" s="51"/>
      <c r="W169" s="51"/>
      <c r="X169" s="51"/>
      <c r="Y169" s="51"/>
      <c r="Z169" s="51"/>
    </row>
    <row r="170" spans="1:26" ht="14.25" customHeight="1" x14ac:dyDescent="0.3">
      <c r="A170" s="84"/>
      <c r="B170" s="51"/>
      <c r="C170" s="51"/>
      <c r="D170" s="85"/>
      <c r="E170" s="51"/>
      <c r="F170" s="51"/>
      <c r="G170" s="51"/>
      <c r="H170" s="51"/>
      <c r="I170" s="51"/>
      <c r="J170" s="51"/>
      <c r="K170" s="51"/>
      <c r="L170" s="51"/>
      <c r="M170" s="51"/>
      <c r="N170" s="51"/>
      <c r="O170" s="51"/>
      <c r="P170" s="51"/>
      <c r="Q170" s="51"/>
      <c r="R170" s="51"/>
      <c r="S170" s="51"/>
      <c r="T170" s="51"/>
      <c r="U170" s="51"/>
      <c r="V170" s="51"/>
      <c r="W170" s="51"/>
      <c r="X170" s="51"/>
      <c r="Y170" s="51"/>
      <c r="Z170" s="51"/>
    </row>
    <row r="171" spans="1:26" ht="14.25" customHeight="1" x14ac:dyDescent="0.3">
      <c r="A171" s="84"/>
      <c r="B171" s="51"/>
      <c r="C171" s="51"/>
      <c r="D171" s="85"/>
      <c r="E171" s="51"/>
      <c r="F171" s="51"/>
      <c r="G171" s="51"/>
      <c r="H171" s="51"/>
      <c r="I171" s="51"/>
      <c r="J171" s="51"/>
      <c r="K171" s="51"/>
      <c r="L171" s="51"/>
      <c r="M171" s="51"/>
      <c r="N171" s="51"/>
      <c r="O171" s="51"/>
      <c r="P171" s="51"/>
      <c r="Q171" s="51"/>
      <c r="R171" s="51"/>
      <c r="S171" s="51"/>
      <c r="T171" s="51"/>
      <c r="U171" s="51"/>
      <c r="V171" s="51"/>
      <c r="W171" s="51"/>
      <c r="X171" s="51"/>
      <c r="Y171" s="51"/>
      <c r="Z171" s="51"/>
    </row>
    <row r="172" spans="1:26" ht="14.25" customHeight="1" x14ac:dyDescent="0.3">
      <c r="A172" s="84"/>
      <c r="B172" s="51"/>
      <c r="C172" s="51"/>
      <c r="D172" s="85"/>
      <c r="E172" s="51"/>
      <c r="F172" s="51"/>
      <c r="G172" s="51"/>
      <c r="H172" s="51"/>
      <c r="I172" s="51"/>
      <c r="J172" s="51"/>
      <c r="K172" s="51"/>
      <c r="L172" s="51"/>
      <c r="M172" s="51"/>
      <c r="N172" s="51"/>
      <c r="O172" s="51"/>
      <c r="P172" s="51"/>
      <c r="Q172" s="51"/>
      <c r="R172" s="51"/>
      <c r="S172" s="51"/>
      <c r="T172" s="51"/>
      <c r="U172" s="51"/>
      <c r="V172" s="51"/>
      <c r="W172" s="51"/>
      <c r="X172" s="51"/>
      <c r="Y172" s="51"/>
      <c r="Z172" s="51"/>
    </row>
    <row r="173" spans="1:26" ht="14.25" customHeight="1" x14ac:dyDescent="0.3">
      <c r="A173" s="84"/>
      <c r="B173" s="51"/>
      <c r="C173" s="51"/>
      <c r="D173" s="85"/>
      <c r="E173" s="51"/>
      <c r="F173" s="51"/>
      <c r="G173" s="51"/>
      <c r="H173" s="51"/>
      <c r="I173" s="51"/>
      <c r="J173" s="51"/>
      <c r="K173" s="51"/>
      <c r="L173" s="51"/>
      <c r="M173" s="51"/>
      <c r="N173" s="51"/>
      <c r="O173" s="51"/>
      <c r="P173" s="51"/>
      <c r="Q173" s="51"/>
      <c r="R173" s="51"/>
      <c r="S173" s="51"/>
      <c r="T173" s="51"/>
      <c r="U173" s="51"/>
      <c r="V173" s="51"/>
      <c r="W173" s="51"/>
      <c r="X173" s="51"/>
      <c r="Y173" s="51"/>
      <c r="Z173" s="51"/>
    </row>
    <row r="174" spans="1:26" ht="14.25" customHeight="1" x14ac:dyDescent="0.3">
      <c r="A174" s="84"/>
      <c r="B174" s="51"/>
      <c r="C174" s="51"/>
      <c r="D174" s="85"/>
      <c r="E174" s="51"/>
      <c r="F174" s="51"/>
      <c r="G174" s="51"/>
      <c r="H174" s="51"/>
      <c r="I174" s="51"/>
      <c r="J174" s="51"/>
      <c r="K174" s="51"/>
      <c r="L174" s="51"/>
      <c r="M174" s="51"/>
      <c r="N174" s="51"/>
      <c r="O174" s="51"/>
      <c r="P174" s="51"/>
      <c r="Q174" s="51"/>
      <c r="R174" s="51"/>
      <c r="S174" s="51"/>
      <c r="T174" s="51"/>
      <c r="U174" s="51"/>
      <c r="V174" s="51"/>
      <c r="W174" s="51"/>
      <c r="X174" s="51"/>
      <c r="Y174" s="51"/>
      <c r="Z174" s="51"/>
    </row>
    <row r="175" spans="1:26" ht="14.25" customHeight="1" x14ac:dyDescent="0.3">
      <c r="A175" s="84"/>
      <c r="B175" s="51"/>
      <c r="C175" s="51"/>
      <c r="D175" s="85"/>
      <c r="E175" s="51"/>
      <c r="F175" s="51"/>
      <c r="G175" s="51"/>
      <c r="H175" s="51"/>
      <c r="I175" s="51"/>
      <c r="J175" s="51"/>
      <c r="K175" s="51"/>
      <c r="L175" s="51"/>
      <c r="M175" s="51"/>
      <c r="N175" s="51"/>
      <c r="O175" s="51"/>
      <c r="P175" s="51"/>
      <c r="Q175" s="51"/>
      <c r="R175" s="51"/>
      <c r="S175" s="51"/>
      <c r="T175" s="51"/>
      <c r="U175" s="51"/>
      <c r="V175" s="51"/>
      <c r="W175" s="51"/>
      <c r="X175" s="51"/>
      <c r="Y175" s="51"/>
      <c r="Z175" s="51"/>
    </row>
    <row r="176" spans="1:26" ht="14.25" customHeight="1" x14ac:dyDescent="0.3">
      <c r="A176" s="84"/>
      <c r="B176" s="51"/>
      <c r="C176" s="51"/>
      <c r="D176" s="85"/>
      <c r="E176" s="51"/>
      <c r="F176" s="51"/>
      <c r="G176" s="51"/>
      <c r="H176" s="51"/>
      <c r="I176" s="51"/>
      <c r="J176" s="51"/>
      <c r="K176" s="51"/>
      <c r="L176" s="51"/>
      <c r="M176" s="51"/>
      <c r="N176" s="51"/>
      <c r="O176" s="51"/>
      <c r="P176" s="51"/>
      <c r="Q176" s="51"/>
      <c r="R176" s="51"/>
      <c r="S176" s="51"/>
      <c r="T176" s="51"/>
      <c r="U176" s="51"/>
      <c r="V176" s="51"/>
      <c r="W176" s="51"/>
      <c r="X176" s="51"/>
      <c r="Y176" s="51"/>
      <c r="Z176" s="51"/>
    </row>
    <row r="177" spans="1:26" ht="14.25" customHeight="1" x14ac:dyDescent="0.3">
      <c r="A177" s="84"/>
      <c r="B177" s="51"/>
      <c r="C177" s="51"/>
      <c r="D177" s="85"/>
      <c r="E177" s="51"/>
      <c r="F177" s="51"/>
      <c r="G177" s="51"/>
      <c r="H177" s="51"/>
      <c r="I177" s="51"/>
      <c r="J177" s="51"/>
      <c r="K177" s="51"/>
      <c r="L177" s="51"/>
      <c r="M177" s="51"/>
      <c r="N177" s="51"/>
      <c r="O177" s="51"/>
      <c r="P177" s="51"/>
      <c r="Q177" s="51"/>
      <c r="R177" s="51"/>
      <c r="S177" s="51"/>
      <c r="T177" s="51"/>
      <c r="U177" s="51"/>
      <c r="V177" s="51"/>
      <c r="W177" s="51"/>
      <c r="X177" s="51"/>
      <c r="Y177" s="51"/>
      <c r="Z177" s="51"/>
    </row>
    <row r="178" spans="1:26" ht="14.25" customHeight="1" x14ac:dyDescent="0.3">
      <c r="A178" s="84"/>
      <c r="B178" s="51"/>
      <c r="C178" s="51"/>
      <c r="D178" s="85"/>
      <c r="E178" s="51"/>
      <c r="F178" s="51"/>
      <c r="G178" s="51"/>
      <c r="H178" s="51"/>
      <c r="I178" s="51"/>
      <c r="J178" s="51"/>
      <c r="K178" s="51"/>
      <c r="L178" s="51"/>
      <c r="M178" s="51"/>
      <c r="N178" s="51"/>
      <c r="O178" s="51"/>
      <c r="P178" s="51"/>
      <c r="Q178" s="51"/>
      <c r="R178" s="51"/>
      <c r="S178" s="51"/>
      <c r="T178" s="51"/>
      <c r="U178" s="51"/>
      <c r="V178" s="51"/>
      <c r="W178" s="51"/>
      <c r="X178" s="51"/>
      <c r="Y178" s="51"/>
      <c r="Z178" s="51"/>
    </row>
    <row r="179" spans="1:26" ht="14.25" customHeight="1" x14ac:dyDescent="0.3">
      <c r="A179" s="84"/>
      <c r="B179" s="51"/>
      <c r="C179" s="51"/>
      <c r="D179" s="85"/>
      <c r="E179" s="51"/>
      <c r="F179" s="51"/>
      <c r="G179" s="51"/>
      <c r="H179" s="51"/>
      <c r="I179" s="51"/>
      <c r="J179" s="51"/>
      <c r="K179" s="51"/>
      <c r="L179" s="51"/>
      <c r="M179" s="51"/>
      <c r="N179" s="51"/>
      <c r="O179" s="51"/>
      <c r="P179" s="51"/>
      <c r="Q179" s="51"/>
      <c r="R179" s="51"/>
      <c r="S179" s="51"/>
      <c r="T179" s="51"/>
      <c r="U179" s="51"/>
      <c r="V179" s="51"/>
      <c r="W179" s="51"/>
      <c r="X179" s="51"/>
      <c r="Y179" s="51"/>
      <c r="Z179" s="51"/>
    </row>
    <row r="180" spans="1:26" ht="14.25" customHeight="1" x14ac:dyDescent="0.3">
      <c r="A180" s="84"/>
      <c r="B180" s="51"/>
      <c r="C180" s="51"/>
      <c r="D180" s="85"/>
      <c r="E180" s="51"/>
      <c r="F180" s="51"/>
      <c r="G180" s="51"/>
      <c r="H180" s="51"/>
      <c r="I180" s="51"/>
      <c r="J180" s="51"/>
      <c r="K180" s="51"/>
      <c r="L180" s="51"/>
      <c r="M180" s="51"/>
      <c r="N180" s="51"/>
      <c r="O180" s="51"/>
      <c r="P180" s="51"/>
      <c r="Q180" s="51"/>
      <c r="R180" s="51"/>
      <c r="S180" s="51"/>
      <c r="T180" s="51"/>
      <c r="U180" s="51"/>
      <c r="V180" s="51"/>
      <c r="W180" s="51"/>
      <c r="X180" s="51"/>
      <c r="Y180" s="51"/>
      <c r="Z180" s="51"/>
    </row>
    <row r="181" spans="1:26" ht="14.25" customHeight="1" x14ac:dyDescent="0.3">
      <c r="A181" s="84"/>
      <c r="B181" s="51"/>
      <c r="C181" s="51"/>
      <c r="D181" s="85"/>
      <c r="E181" s="51"/>
      <c r="F181" s="51"/>
      <c r="G181" s="51"/>
      <c r="H181" s="51"/>
      <c r="I181" s="51"/>
      <c r="J181" s="51"/>
      <c r="K181" s="51"/>
      <c r="L181" s="51"/>
      <c r="M181" s="51"/>
      <c r="N181" s="51"/>
      <c r="O181" s="51"/>
      <c r="P181" s="51"/>
      <c r="Q181" s="51"/>
      <c r="R181" s="51"/>
      <c r="S181" s="51"/>
      <c r="T181" s="51"/>
      <c r="U181" s="51"/>
      <c r="V181" s="51"/>
      <c r="W181" s="51"/>
      <c r="X181" s="51"/>
      <c r="Y181" s="51"/>
      <c r="Z181" s="51"/>
    </row>
    <row r="182" spans="1:26" ht="14.25" customHeight="1" x14ac:dyDescent="0.3">
      <c r="A182" s="84"/>
      <c r="B182" s="51"/>
      <c r="C182" s="51"/>
      <c r="D182" s="85"/>
      <c r="E182" s="51"/>
      <c r="F182" s="51"/>
      <c r="G182" s="51"/>
      <c r="H182" s="51"/>
      <c r="I182" s="51"/>
      <c r="J182" s="51"/>
      <c r="K182" s="51"/>
      <c r="L182" s="51"/>
      <c r="M182" s="51"/>
      <c r="N182" s="51"/>
      <c r="O182" s="51"/>
      <c r="P182" s="51"/>
      <c r="Q182" s="51"/>
      <c r="R182" s="51"/>
      <c r="S182" s="51"/>
      <c r="T182" s="51"/>
      <c r="U182" s="51"/>
      <c r="V182" s="51"/>
      <c r="W182" s="51"/>
      <c r="X182" s="51"/>
      <c r="Y182" s="51"/>
      <c r="Z182" s="51"/>
    </row>
    <row r="183" spans="1:26" ht="14.25" customHeight="1" x14ac:dyDescent="0.3">
      <c r="A183" s="84"/>
      <c r="B183" s="51"/>
      <c r="C183" s="51"/>
      <c r="D183" s="85"/>
      <c r="E183" s="51"/>
      <c r="F183" s="51"/>
      <c r="G183" s="51"/>
      <c r="H183" s="51"/>
      <c r="I183" s="51"/>
      <c r="J183" s="51"/>
      <c r="K183" s="51"/>
      <c r="L183" s="51"/>
      <c r="M183" s="51"/>
      <c r="N183" s="51"/>
      <c r="O183" s="51"/>
      <c r="P183" s="51"/>
      <c r="Q183" s="51"/>
      <c r="R183" s="51"/>
      <c r="S183" s="51"/>
      <c r="T183" s="51"/>
      <c r="U183" s="51"/>
      <c r="V183" s="51"/>
      <c r="W183" s="51"/>
      <c r="X183" s="51"/>
      <c r="Y183" s="51"/>
      <c r="Z183" s="51"/>
    </row>
    <row r="184" spans="1:26" ht="14.25" customHeight="1" x14ac:dyDescent="0.3">
      <c r="A184" s="84"/>
      <c r="B184" s="51"/>
      <c r="C184" s="51"/>
      <c r="D184" s="85"/>
      <c r="E184" s="51"/>
      <c r="F184" s="51"/>
      <c r="G184" s="51"/>
      <c r="H184" s="51"/>
      <c r="I184" s="51"/>
      <c r="J184" s="51"/>
      <c r="K184" s="51"/>
      <c r="L184" s="51"/>
      <c r="M184" s="51"/>
      <c r="N184" s="51"/>
      <c r="O184" s="51"/>
      <c r="P184" s="51"/>
      <c r="Q184" s="51"/>
      <c r="R184" s="51"/>
      <c r="S184" s="51"/>
      <c r="T184" s="51"/>
      <c r="U184" s="51"/>
      <c r="V184" s="51"/>
      <c r="W184" s="51"/>
      <c r="X184" s="51"/>
      <c r="Y184" s="51"/>
      <c r="Z184" s="51"/>
    </row>
    <row r="185" spans="1:26" ht="14.25" customHeight="1" x14ac:dyDescent="0.3">
      <c r="A185" s="84"/>
      <c r="B185" s="51"/>
      <c r="C185" s="51"/>
      <c r="D185" s="85"/>
      <c r="E185" s="51"/>
      <c r="F185" s="51"/>
      <c r="G185" s="51"/>
      <c r="H185" s="51"/>
      <c r="I185" s="51"/>
      <c r="J185" s="51"/>
      <c r="K185" s="51"/>
      <c r="L185" s="51"/>
      <c r="M185" s="51"/>
      <c r="N185" s="51"/>
      <c r="O185" s="51"/>
      <c r="P185" s="51"/>
      <c r="Q185" s="51"/>
      <c r="R185" s="51"/>
      <c r="S185" s="51"/>
      <c r="T185" s="51"/>
      <c r="U185" s="51"/>
      <c r="V185" s="51"/>
      <c r="W185" s="51"/>
      <c r="X185" s="51"/>
      <c r="Y185" s="51"/>
      <c r="Z185" s="51"/>
    </row>
    <row r="186" spans="1:26" ht="14.25" customHeight="1" x14ac:dyDescent="0.3">
      <c r="A186" s="84"/>
      <c r="B186" s="51"/>
      <c r="C186" s="51"/>
      <c r="D186" s="85"/>
      <c r="E186" s="51"/>
      <c r="F186" s="51"/>
      <c r="G186" s="51"/>
      <c r="H186" s="51"/>
      <c r="I186" s="51"/>
      <c r="J186" s="51"/>
      <c r="K186" s="51"/>
      <c r="L186" s="51"/>
      <c r="M186" s="51"/>
      <c r="N186" s="51"/>
      <c r="O186" s="51"/>
      <c r="P186" s="51"/>
      <c r="Q186" s="51"/>
      <c r="R186" s="51"/>
      <c r="S186" s="51"/>
      <c r="T186" s="51"/>
      <c r="U186" s="51"/>
      <c r="V186" s="51"/>
      <c r="W186" s="51"/>
      <c r="X186" s="51"/>
      <c r="Y186" s="51"/>
      <c r="Z186" s="51"/>
    </row>
    <row r="187" spans="1:26" ht="14.25" customHeight="1" x14ac:dyDescent="0.3">
      <c r="A187" s="84"/>
      <c r="B187" s="51"/>
      <c r="C187" s="51"/>
      <c r="D187" s="85"/>
      <c r="E187" s="51"/>
      <c r="F187" s="51"/>
      <c r="G187" s="51"/>
      <c r="H187" s="51"/>
      <c r="I187" s="51"/>
      <c r="J187" s="51"/>
      <c r="K187" s="51"/>
      <c r="L187" s="51"/>
      <c r="M187" s="51"/>
      <c r="N187" s="51"/>
      <c r="O187" s="51"/>
      <c r="P187" s="51"/>
      <c r="Q187" s="51"/>
      <c r="R187" s="51"/>
      <c r="S187" s="51"/>
      <c r="T187" s="51"/>
      <c r="U187" s="51"/>
      <c r="V187" s="51"/>
      <c r="W187" s="51"/>
      <c r="X187" s="51"/>
      <c r="Y187" s="51"/>
      <c r="Z187" s="51"/>
    </row>
    <row r="188" spans="1:26" ht="14.25" customHeight="1" x14ac:dyDescent="0.3">
      <c r="A188" s="84"/>
      <c r="B188" s="51"/>
      <c r="C188" s="51"/>
      <c r="D188" s="85"/>
      <c r="E188" s="51"/>
      <c r="F188" s="51"/>
      <c r="G188" s="51"/>
      <c r="H188" s="51"/>
      <c r="I188" s="51"/>
      <c r="J188" s="51"/>
      <c r="K188" s="51"/>
      <c r="L188" s="51"/>
      <c r="M188" s="51"/>
      <c r="N188" s="51"/>
      <c r="O188" s="51"/>
      <c r="P188" s="51"/>
      <c r="Q188" s="51"/>
      <c r="R188" s="51"/>
      <c r="S188" s="51"/>
      <c r="T188" s="51"/>
      <c r="U188" s="51"/>
      <c r="V188" s="51"/>
      <c r="W188" s="51"/>
      <c r="X188" s="51"/>
      <c r="Y188" s="51"/>
      <c r="Z188" s="51"/>
    </row>
    <row r="189" spans="1:26" ht="14.25" customHeight="1" x14ac:dyDescent="0.3">
      <c r="A189" s="84"/>
      <c r="B189" s="51"/>
      <c r="C189" s="51"/>
      <c r="D189" s="85"/>
      <c r="E189" s="51"/>
      <c r="F189" s="51"/>
      <c r="G189" s="51"/>
      <c r="H189" s="51"/>
      <c r="I189" s="51"/>
      <c r="J189" s="51"/>
      <c r="K189" s="51"/>
      <c r="L189" s="51"/>
      <c r="M189" s="51"/>
      <c r="N189" s="51"/>
      <c r="O189" s="51"/>
      <c r="P189" s="51"/>
      <c r="Q189" s="51"/>
      <c r="R189" s="51"/>
      <c r="S189" s="51"/>
      <c r="T189" s="51"/>
      <c r="U189" s="51"/>
      <c r="V189" s="51"/>
      <c r="W189" s="51"/>
      <c r="X189" s="51"/>
      <c r="Y189" s="51"/>
      <c r="Z189" s="51"/>
    </row>
    <row r="190" spans="1:26" ht="14.25" customHeight="1" x14ac:dyDescent="0.3">
      <c r="A190" s="84"/>
      <c r="B190" s="51"/>
      <c r="C190" s="51"/>
      <c r="D190" s="85"/>
      <c r="E190" s="51"/>
      <c r="F190" s="51"/>
      <c r="G190" s="51"/>
      <c r="H190" s="51"/>
      <c r="I190" s="51"/>
      <c r="J190" s="51"/>
      <c r="K190" s="51"/>
      <c r="L190" s="51"/>
      <c r="M190" s="51"/>
      <c r="N190" s="51"/>
      <c r="O190" s="51"/>
      <c r="P190" s="51"/>
      <c r="Q190" s="51"/>
      <c r="R190" s="51"/>
      <c r="S190" s="51"/>
      <c r="T190" s="51"/>
      <c r="U190" s="51"/>
      <c r="V190" s="51"/>
      <c r="W190" s="51"/>
      <c r="X190" s="51"/>
      <c r="Y190" s="51"/>
      <c r="Z190" s="51"/>
    </row>
    <row r="191" spans="1:26" ht="14.25" customHeight="1" x14ac:dyDescent="0.3">
      <c r="A191" s="84"/>
      <c r="B191" s="51"/>
      <c r="C191" s="51"/>
      <c r="D191" s="85"/>
      <c r="E191" s="51"/>
      <c r="F191" s="51"/>
      <c r="G191" s="51"/>
      <c r="H191" s="51"/>
      <c r="I191" s="51"/>
      <c r="J191" s="51"/>
      <c r="K191" s="51"/>
      <c r="L191" s="51"/>
      <c r="M191" s="51"/>
      <c r="N191" s="51"/>
      <c r="O191" s="51"/>
      <c r="P191" s="51"/>
      <c r="Q191" s="51"/>
      <c r="R191" s="51"/>
      <c r="S191" s="51"/>
      <c r="T191" s="51"/>
      <c r="U191" s="51"/>
      <c r="V191" s="51"/>
      <c r="W191" s="51"/>
      <c r="X191" s="51"/>
      <c r="Y191" s="51"/>
      <c r="Z191" s="51"/>
    </row>
    <row r="192" spans="1:26" ht="14.25" customHeight="1" x14ac:dyDescent="0.3">
      <c r="A192" s="84"/>
      <c r="B192" s="51"/>
      <c r="C192" s="51"/>
      <c r="D192" s="85"/>
      <c r="E192" s="51"/>
      <c r="F192" s="51"/>
      <c r="G192" s="51"/>
      <c r="H192" s="51"/>
      <c r="I192" s="51"/>
      <c r="J192" s="51"/>
      <c r="K192" s="51"/>
      <c r="L192" s="51"/>
      <c r="M192" s="51"/>
      <c r="N192" s="51"/>
      <c r="O192" s="51"/>
      <c r="P192" s="51"/>
      <c r="Q192" s="51"/>
      <c r="R192" s="51"/>
      <c r="S192" s="51"/>
      <c r="T192" s="51"/>
      <c r="U192" s="51"/>
      <c r="V192" s="51"/>
      <c r="W192" s="51"/>
      <c r="X192" s="51"/>
      <c r="Y192" s="51"/>
      <c r="Z192" s="51"/>
    </row>
    <row r="193" spans="1:26" ht="14.25" customHeight="1" x14ac:dyDescent="0.3">
      <c r="A193" s="84"/>
      <c r="B193" s="51"/>
      <c r="C193" s="51"/>
      <c r="D193" s="85"/>
      <c r="E193" s="51"/>
      <c r="F193" s="51"/>
      <c r="G193" s="51"/>
      <c r="H193" s="51"/>
      <c r="I193" s="51"/>
      <c r="J193" s="51"/>
      <c r="K193" s="51"/>
      <c r="L193" s="51"/>
      <c r="M193" s="51"/>
      <c r="N193" s="51"/>
      <c r="O193" s="51"/>
      <c r="P193" s="51"/>
      <c r="Q193" s="51"/>
      <c r="R193" s="51"/>
      <c r="S193" s="51"/>
      <c r="T193" s="51"/>
      <c r="U193" s="51"/>
      <c r="V193" s="51"/>
      <c r="W193" s="51"/>
      <c r="X193" s="51"/>
      <c r="Y193" s="51"/>
      <c r="Z193" s="51"/>
    </row>
    <row r="194" spans="1:26" ht="14.25" customHeight="1" x14ac:dyDescent="0.3">
      <c r="A194" s="84"/>
      <c r="B194" s="51"/>
      <c r="C194" s="51"/>
      <c r="D194" s="85"/>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ht="14.25" customHeight="1" x14ac:dyDescent="0.3">
      <c r="A195" s="84"/>
      <c r="B195" s="51"/>
      <c r="C195" s="51"/>
      <c r="D195" s="85"/>
      <c r="E195" s="51"/>
      <c r="F195" s="51"/>
      <c r="G195" s="51"/>
      <c r="H195" s="51"/>
      <c r="I195" s="51"/>
      <c r="J195" s="51"/>
      <c r="K195" s="51"/>
      <c r="L195" s="51"/>
      <c r="M195" s="51"/>
      <c r="N195" s="51"/>
      <c r="O195" s="51"/>
      <c r="P195" s="51"/>
      <c r="Q195" s="51"/>
      <c r="R195" s="51"/>
      <c r="S195" s="51"/>
      <c r="T195" s="51"/>
      <c r="U195" s="51"/>
      <c r="V195" s="51"/>
      <c r="W195" s="51"/>
      <c r="X195" s="51"/>
      <c r="Y195" s="51"/>
      <c r="Z195" s="51"/>
    </row>
    <row r="196" spans="1:26" ht="14.25" customHeight="1" x14ac:dyDescent="0.3">
      <c r="A196" s="84"/>
      <c r="B196" s="51"/>
      <c r="C196" s="51"/>
      <c r="D196" s="85"/>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ht="14.25" customHeight="1" x14ac:dyDescent="0.3">
      <c r="A197" s="84"/>
      <c r="B197" s="51"/>
      <c r="C197" s="51"/>
      <c r="D197" s="85"/>
      <c r="E197" s="51"/>
      <c r="F197" s="51"/>
      <c r="G197" s="51"/>
      <c r="H197" s="51"/>
      <c r="I197" s="51"/>
      <c r="J197" s="51"/>
      <c r="K197" s="51"/>
      <c r="L197" s="51"/>
      <c r="M197" s="51"/>
      <c r="N197" s="51"/>
      <c r="O197" s="51"/>
      <c r="P197" s="51"/>
      <c r="Q197" s="51"/>
      <c r="R197" s="51"/>
      <c r="S197" s="51"/>
      <c r="T197" s="51"/>
      <c r="U197" s="51"/>
      <c r="V197" s="51"/>
      <c r="W197" s="51"/>
      <c r="X197" s="51"/>
      <c r="Y197" s="51"/>
      <c r="Z197" s="51"/>
    </row>
    <row r="198" spans="1:26" ht="14.25" customHeight="1" x14ac:dyDescent="0.3">
      <c r="A198" s="84"/>
      <c r="B198" s="51"/>
      <c r="C198" s="51"/>
      <c r="D198" s="85"/>
      <c r="E198" s="51"/>
      <c r="F198" s="51"/>
      <c r="G198" s="51"/>
      <c r="H198" s="51"/>
      <c r="I198" s="51"/>
      <c r="J198" s="51"/>
      <c r="K198" s="51"/>
      <c r="L198" s="51"/>
      <c r="M198" s="51"/>
      <c r="N198" s="51"/>
      <c r="O198" s="51"/>
      <c r="P198" s="51"/>
      <c r="Q198" s="51"/>
      <c r="R198" s="51"/>
      <c r="S198" s="51"/>
      <c r="T198" s="51"/>
      <c r="U198" s="51"/>
      <c r="V198" s="51"/>
      <c r="W198" s="51"/>
      <c r="X198" s="51"/>
      <c r="Y198" s="51"/>
      <c r="Z198" s="51"/>
    </row>
    <row r="199" spans="1:26" ht="14.25" customHeight="1" x14ac:dyDescent="0.3">
      <c r="A199" s="84"/>
      <c r="B199" s="51"/>
      <c r="C199" s="51"/>
      <c r="D199" s="85"/>
      <c r="E199" s="51"/>
      <c r="F199" s="51"/>
      <c r="G199" s="51"/>
      <c r="H199" s="51"/>
      <c r="I199" s="51"/>
      <c r="J199" s="51"/>
      <c r="K199" s="51"/>
      <c r="L199" s="51"/>
      <c r="M199" s="51"/>
      <c r="N199" s="51"/>
      <c r="O199" s="51"/>
      <c r="P199" s="51"/>
      <c r="Q199" s="51"/>
      <c r="R199" s="51"/>
      <c r="S199" s="51"/>
      <c r="T199" s="51"/>
      <c r="U199" s="51"/>
      <c r="V199" s="51"/>
      <c r="W199" s="51"/>
      <c r="X199" s="51"/>
      <c r="Y199" s="51"/>
      <c r="Z199" s="51"/>
    </row>
    <row r="200" spans="1:26" ht="14.25" customHeight="1" x14ac:dyDescent="0.3">
      <c r="A200" s="84"/>
      <c r="B200" s="51"/>
      <c r="C200" s="51"/>
      <c r="D200" s="85"/>
      <c r="E200" s="51"/>
      <c r="F200" s="51"/>
      <c r="G200" s="51"/>
      <c r="H200" s="51"/>
      <c r="I200" s="51"/>
      <c r="J200" s="51"/>
      <c r="K200" s="51"/>
      <c r="L200" s="51"/>
      <c r="M200" s="51"/>
      <c r="N200" s="51"/>
      <c r="O200" s="51"/>
      <c r="P200" s="51"/>
      <c r="Q200" s="51"/>
      <c r="R200" s="51"/>
      <c r="S200" s="51"/>
      <c r="T200" s="51"/>
      <c r="U200" s="51"/>
      <c r="V200" s="51"/>
      <c r="W200" s="51"/>
      <c r="X200" s="51"/>
      <c r="Y200" s="51"/>
      <c r="Z200" s="51"/>
    </row>
    <row r="201" spans="1:26" ht="14.25" customHeight="1" x14ac:dyDescent="0.3">
      <c r="A201" s="84"/>
      <c r="B201" s="51"/>
      <c r="C201" s="51"/>
      <c r="D201" s="85"/>
      <c r="E201" s="51"/>
      <c r="F201" s="51"/>
      <c r="G201" s="51"/>
      <c r="H201" s="51"/>
      <c r="I201" s="51"/>
      <c r="J201" s="51"/>
      <c r="K201" s="51"/>
      <c r="L201" s="51"/>
      <c r="M201" s="51"/>
      <c r="N201" s="51"/>
      <c r="O201" s="51"/>
      <c r="P201" s="51"/>
      <c r="Q201" s="51"/>
      <c r="R201" s="51"/>
      <c r="S201" s="51"/>
      <c r="T201" s="51"/>
      <c r="U201" s="51"/>
      <c r="V201" s="51"/>
      <c r="W201" s="51"/>
      <c r="X201" s="51"/>
      <c r="Y201" s="51"/>
      <c r="Z201" s="51"/>
    </row>
    <row r="202" spans="1:26" ht="14.25" customHeight="1" x14ac:dyDescent="0.3">
      <c r="A202" s="84"/>
      <c r="B202" s="51"/>
      <c r="C202" s="51"/>
      <c r="D202" s="85"/>
      <c r="E202" s="51"/>
      <c r="F202" s="51"/>
      <c r="G202" s="51"/>
      <c r="H202" s="51"/>
      <c r="I202" s="51"/>
      <c r="J202" s="51"/>
      <c r="K202" s="51"/>
      <c r="L202" s="51"/>
      <c r="M202" s="51"/>
      <c r="N202" s="51"/>
      <c r="O202" s="51"/>
      <c r="P202" s="51"/>
      <c r="Q202" s="51"/>
      <c r="R202" s="51"/>
      <c r="S202" s="51"/>
      <c r="T202" s="51"/>
      <c r="U202" s="51"/>
      <c r="V202" s="51"/>
      <c r="W202" s="51"/>
      <c r="X202" s="51"/>
      <c r="Y202" s="51"/>
      <c r="Z202" s="51"/>
    </row>
    <row r="203" spans="1:26" ht="14.25" customHeight="1" x14ac:dyDescent="0.3">
      <c r="A203" s="84"/>
      <c r="B203" s="51"/>
      <c r="C203" s="51"/>
      <c r="D203" s="85"/>
      <c r="E203" s="51"/>
      <c r="F203" s="51"/>
      <c r="G203" s="51"/>
      <c r="H203" s="51"/>
      <c r="I203" s="51"/>
      <c r="J203" s="51"/>
      <c r="K203" s="51"/>
      <c r="L203" s="51"/>
      <c r="M203" s="51"/>
      <c r="N203" s="51"/>
      <c r="O203" s="51"/>
      <c r="P203" s="51"/>
      <c r="Q203" s="51"/>
      <c r="R203" s="51"/>
      <c r="S203" s="51"/>
      <c r="T203" s="51"/>
      <c r="U203" s="51"/>
      <c r="V203" s="51"/>
      <c r="W203" s="51"/>
      <c r="X203" s="51"/>
      <c r="Y203" s="51"/>
      <c r="Z203" s="51"/>
    </row>
    <row r="204" spans="1:26" ht="14.25" customHeight="1" x14ac:dyDescent="0.3">
      <c r="A204" s="84"/>
      <c r="B204" s="51"/>
      <c r="C204" s="51"/>
      <c r="D204" s="85"/>
      <c r="E204" s="51"/>
      <c r="F204" s="51"/>
      <c r="G204" s="51"/>
      <c r="H204" s="51"/>
      <c r="I204" s="51"/>
      <c r="J204" s="51"/>
      <c r="K204" s="51"/>
      <c r="L204" s="51"/>
      <c r="M204" s="51"/>
      <c r="N204" s="51"/>
      <c r="O204" s="51"/>
      <c r="P204" s="51"/>
      <c r="Q204" s="51"/>
      <c r="R204" s="51"/>
      <c r="S204" s="51"/>
      <c r="T204" s="51"/>
      <c r="U204" s="51"/>
      <c r="V204" s="51"/>
      <c r="W204" s="51"/>
      <c r="X204" s="51"/>
      <c r="Y204" s="51"/>
      <c r="Z204" s="51"/>
    </row>
    <row r="205" spans="1:26" ht="14.25" customHeight="1" x14ac:dyDescent="0.3">
      <c r="A205" s="84"/>
      <c r="B205" s="51"/>
      <c r="C205" s="51"/>
      <c r="D205" s="85"/>
      <c r="E205" s="51"/>
      <c r="F205" s="51"/>
      <c r="G205" s="51"/>
      <c r="H205" s="51"/>
      <c r="I205" s="51"/>
      <c r="J205" s="51"/>
      <c r="K205" s="51"/>
      <c r="L205" s="51"/>
      <c r="M205" s="51"/>
      <c r="N205" s="51"/>
      <c r="O205" s="51"/>
      <c r="P205" s="51"/>
      <c r="Q205" s="51"/>
      <c r="R205" s="51"/>
      <c r="S205" s="51"/>
      <c r="T205" s="51"/>
      <c r="U205" s="51"/>
      <c r="V205" s="51"/>
      <c r="W205" s="51"/>
      <c r="X205" s="51"/>
      <c r="Y205" s="51"/>
      <c r="Z205" s="51"/>
    </row>
    <row r="206" spans="1:26" ht="14.25" customHeight="1" x14ac:dyDescent="0.3">
      <c r="A206" s="84"/>
      <c r="B206" s="51"/>
      <c r="C206" s="51"/>
      <c r="D206" s="85"/>
      <c r="E206" s="51"/>
      <c r="F206" s="51"/>
      <c r="G206" s="51"/>
      <c r="H206" s="51"/>
      <c r="I206" s="51"/>
      <c r="J206" s="51"/>
      <c r="K206" s="51"/>
      <c r="L206" s="51"/>
      <c r="M206" s="51"/>
      <c r="N206" s="51"/>
      <c r="O206" s="51"/>
      <c r="P206" s="51"/>
      <c r="Q206" s="51"/>
      <c r="R206" s="51"/>
      <c r="S206" s="51"/>
      <c r="T206" s="51"/>
      <c r="U206" s="51"/>
      <c r="V206" s="51"/>
      <c r="W206" s="51"/>
      <c r="X206" s="51"/>
      <c r="Y206" s="51"/>
      <c r="Z206" s="51"/>
    </row>
    <row r="207" spans="1:26" ht="14.25" customHeight="1" x14ac:dyDescent="0.3">
      <c r="A207" s="84"/>
      <c r="B207" s="51"/>
      <c r="C207" s="51"/>
      <c r="D207" s="85"/>
      <c r="E207" s="51"/>
      <c r="F207" s="51"/>
      <c r="G207" s="51"/>
      <c r="H207" s="51"/>
      <c r="I207" s="51"/>
      <c r="J207" s="51"/>
      <c r="K207" s="51"/>
      <c r="L207" s="51"/>
      <c r="M207" s="51"/>
      <c r="N207" s="51"/>
      <c r="O207" s="51"/>
      <c r="P207" s="51"/>
      <c r="Q207" s="51"/>
      <c r="R207" s="51"/>
      <c r="S207" s="51"/>
      <c r="T207" s="51"/>
      <c r="U207" s="51"/>
      <c r="V207" s="51"/>
      <c r="W207" s="51"/>
      <c r="X207" s="51"/>
      <c r="Y207" s="51"/>
      <c r="Z207" s="51"/>
    </row>
    <row r="208" spans="1:26" ht="14.25" customHeight="1" x14ac:dyDescent="0.3">
      <c r="A208" s="84"/>
      <c r="B208" s="51"/>
      <c r="C208" s="51"/>
      <c r="D208" s="85"/>
      <c r="E208" s="51"/>
      <c r="F208" s="51"/>
      <c r="G208" s="51"/>
      <c r="H208" s="51"/>
      <c r="I208" s="51"/>
      <c r="J208" s="51"/>
      <c r="K208" s="51"/>
      <c r="L208" s="51"/>
      <c r="M208" s="51"/>
      <c r="N208" s="51"/>
      <c r="O208" s="51"/>
      <c r="P208" s="51"/>
      <c r="Q208" s="51"/>
      <c r="R208" s="51"/>
      <c r="S208" s="51"/>
      <c r="T208" s="51"/>
      <c r="U208" s="51"/>
      <c r="V208" s="51"/>
      <c r="W208" s="51"/>
      <c r="X208" s="51"/>
      <c r="Y208" s="51"/>
      <c r="Z208" s="51"/>
    </row>
    <row r="209" spans="1:26" ht="14.25" customHeight="1" x14ac:dyDescent="0.3">
      <c r="A209" s="84"/>
      <c r="B209" s="51"/>
      <c r="C209" s="51"/>
      <c r="D209" s="85"/>
      <c r="E209" s="51"/>
      <c r="F209" s="51"/>
      <c r="G209" s="51"/>
      <c r="H209" s="51"/>
      <c r="I209" s="51"/>
      <c r="J209" s="51"/>
      <c r="K209" s="51"/>
      <c r="L209" s="51"/>
      <c r="M209" s="51"/>
      <c r="N209" s="51"/>
      <c r="O209" s="51"/>
      <c r="P209" s="51"/>
      <c r="Q209" s="51"/>
      <c r="R209" s="51"/>
      <c r="S209" s="51"/>
      <c r="T209" s="51"/>
      <c r="U209" s="51"/>
      <c r="V209" s="51"/>
      <c r="W209" s="51"/>
      <c r="X209" s="51"/>
      <c r="Y209" s="51"/>
      <c r="Z209" s="51"/>
    </row>
    <row r="210" spans="1:26" ht="14.25" customHeight="1" x14ac:dyDescent="0.3">
      <c r="A210" s="84"/>
      <c r="B210" s="51"/>
      <c r="C210" s="51"/>
      <c r="D210" s="85"/>
      <c r="E210" s="51"/>
      <c r="F210" s="51"/>
      <c r="G210" s="51"/>
      <c r="H210" s="51"/>
      <c r="I210" s="51"/>
      <c r="J210" s="51"/>
      <c r="K210" s="51"/>
      <c r="L210" s="51"/>
      <c r="M210" s="51"/>
      <c r="N210" s="51"/>
      <c r="O210" s="51"/>
      <c r="P210" s="51"/>
      <c r="Q210" s="51"/>
      <c r="R210" s="51"/>
      <c r="S210" s="51"/>
      <c r="T210" s="51"/>
      <c r="U210" s="51"/>
      <c r="V210" s="51"/>
      <c r="W210" s="51"/>
      <c r="X210" s="51"/>
      <c r="Y210" s="51"/>
      <c r="Z210" s="51"/>
    </row>
    <row r="211" spans="1:26" ht="14.25" customHeight="1" x14ac:dyDescent="0.3">
      <c r="A211" s="84"/>
      <c r="B211" s="51"/>
      <c r="C211" s="51"/>
      <c r="D211" s="85"/>
      <c r="E211" s="51"/>
      <c r="F211" s="51"/>
      <c r="G211" s="51"/>
      <c r="H211" s="51"/>
      <c r="I211" s="51"/>
      <c r="J211" s="51"/>
      <c r="K211" s="51"/>
      <c r="L211" s="51"/>
      <c r="M211" s="51"/>
      <c r="N211" s="51"/>
      <c r="O211" s="51"/>
      <c r="P211" s="51"/>
      <c r="Q211" s="51"/>
      <c r="R211" s="51"/>
      <c r="S211" s="51"/>
      <c r="T211" s="51"/>
      <c r="U211" s="51"/>
      <c r="V211" s="51"/>
      <c r="W211" s="51"/>
      <c r="X211" s="51"/>
      <c r="Y211" s="51"/>
      <c r="Z211" s="51"/>
    </row>
    <row r="212" spans="1:26" ht="14.25" customHeight="1" x14ac:dyDescent="0.3">
      <c r="A212" s="84"/>
      <c r="B212" s="51"/>
      <c r="C212" s="51"/>
      <c r="D212" s="85"/>
      <c r="E212" s="51"/>
      <c r="F212" s="51"/>
      <c r="G212" s="51"/>
      <c r="H212" s="51"/>
      <c r="I212" s="51"/>
      <c r="J212" s="51"/>
      <c r="K212" s="51"/>
      <c r="L212" s="51"/>
      <c r="M212" s="51"/>
      <c r="N212" s="51"/>
      <c r="O212" s="51"/>
      <c r="P212" s="51"/>
      <c r="Q212" s="51"/>
      <c r="R212" s="51"/>
      <c r="S212" s="51"/>
      <c r="T212" s="51"/>
      <c r="U212" s="51"/>
      <c r="V212" s="51"/>
      <c r="W212" s="51"/>
      <c r="X212" s="51"/>
      <c r="Y212" s="51"/>
      <c r="Z212" s="51"/>
    </row>
    <row r="213" spans="1:26" ht="14.25" customHeight="1" x14ac:dyDescent="0.3">
      <c r="A213" s="84"/>
      <c r="B213" s="51"/>
      <c r="C213" s="51"/>
      <c r="D213" s="85"/>
      <c r="E213" s="51"/>
      <c r="F213" s="51"/>
      <c r="G213" s="51"/>
      <c r="H213" s="51"/>
      <c r="I213" s="51"/>
      <c r="J213" s="51"/>
      <c r="K213" s="51"/>
      <c r="L213" s="51"/>
      <c r="M213" s="51"/>
      <c r="N213" s="51"/>
      <c r="O213" s="51"/>
      <c r="P213" s="51"/>
      <c r="Q213" s="51"/>
      <c r="R213" s="51"/>
      <c r="S213" s="51"/>
      <c r="T213" s="51"/>
      <c r="U213" s="51"/>
      <c r="V213" s="51"/>
      <c r="W213" s="51"/>
      <c r="X213" s="51"/>
      <c r="Y213" s="51"/>
      <c r="Z213" s="51"/>
    </row>
    <row r="214" spans="1:26" ht="14.25" customHeight="1" x14ac:dyDescent="0.3">
      <c r="A214" s="84"/>
      <c r="B214" s="51"/>
      <c r="C214" s="51"/>
      <c r="D214" s="85"/>
      <c r="E214" s="51"/>
      <c r="F214" s="51"/>
      <c r="G214" s="51"/>
      <c r="H214" s="51"/>
      <c r="I214" s="51"/>
      <c r="J214" s="51"/>
      <c r="K214" s="51"/>
      <c r="L214" s="51"/>
      <c r="M214" s="51"/>
      <c r="N214" s="51"/>
      <c r="O214" s="51"/>
      <c r="P214" s="51"/>
      <c r="Q214" s="51"/>
      <c r="R214" s="51"/>
      <c r="S214" s="51"/>
      <c r="T214" s="51"/>
      <c r="U214" s="51"/>
      <c r="V214" s="51"/>
      <c r="W214" s="51"/>
      <c r="X214" s="51"/>
      <c r="Y214" s="51"/>
      <c r="Z214" s="51"/>
    </row>
    <row r="215" spans="1:26" ht="14.25" customHeight="1" x14ac:dyDescent="0.3">
      <c r="A215" s="84"/>
      <c r="B215" s="51"/>
      <c r="C215" s="51"/>
      <c r="D215" s="85"/>
      <c r="E215" s="51"/>
      <c r="F215" s="51"/>
      <c r="G215" s="51"/>
      <c r="H215" s="51"/>
      <c r="I215" s="51"/>
      <c r="J215" s="51"/>
      <c r="K215" s="51"/>
      <c r="L215" s="51"/>
      <c r="M215" s="51"/>
      <c r="N215" s="51"/>
      <c r="O215" s="51"/>
      <c r="P215" s="51"/>
      <c r="Q215" s="51"/>
      <c r="R215" s="51"/>
      <c r="S215" s="51"/>
      <c r="T215" s="51"/>
      <c r="U215" s="51"/>
      <c r="V215" s="51"/>
      <c r="W215" s="51"/>
      <c r="X215" s="51"/>
      <c r="Y215" s="51"/>
      <c r="Z215" s="51"/>
    </row>
    <row r="216" spans="1:26" ht="14.25" customHeight="1" x14ac:dyDescent="0.3">
      <c r="A216" s="84"/>
      <c r="B216" s="51"/>
      <c r="C216" s="51"/>
      <c r="D216" s="85"/>
      <c r="E216" s="51"/>
      <c r="F216" s="51"/>
      <c r="G216" s="51"/>
      <c r="H216" s="51"/>
      <c r="I216" s="51"/>
      <c r="J216" s="51"/>
      <c r="K216" s="51"/>
      <c r="L216" s="51"/>
      <c r="M216" s="51"/>
      <c r="N216" s="51"/>
      <c r="O216" s="51"/>
      <c r="P216" s="51"/>
      <c r="Q216" s="51"/>
      <c r="R216" s="51"/>
      <c r="S216" s="51"/>
      <c r="T216" s="51"/>
      <c r="U216" s="51"/>
      <c r="V216" s="51"/>
      <c r="W216" s="51"/>
      <c r="X216" s="51"/>
      <c r="Y216" s="51"/>
      <c r="Z216" s="51"/>
    </row>
    <row r="217" spans="1:26" ht="14.25" customHeight="1" x14ac:dyDescent="0.3">
      <c r="A217" s="84"/>
      <c r="B217" s="51"/>
      <c r="C217" s="51"/>
      <c r="D217" s="85"/>
      <c r="E217" s="51"/>
      <c r="F217" s="51"/>
      <c r="G217" s="51"/>
      <c r="H217" s="51"/>
      <c r="I217" s="51"/>
      <c r="J217" s="51"/>
      <c r="K217" s="51"/>
      <c r="L217" s="51"/>
      <c r="M217" s="51"/>
      <c r="N217" s="51"/>
      <c r="O217" s="51"/>
      <c r="P217" s="51"/>
      <c r="Q217" s="51"/>
      <c r="R217" s="51"/>
      <c r="S217" s="51"/>
      <c r="T217" s="51"/>
      <c r="U217" s="51"/>
      <c r="V217" s="51"/>
      <c r="W217" s="51"/>
      <c r="X217" s="51"/>
      <c r="Y217" s="51"/>
      <c r="Z217" s="51"/>
    </row>
    <row r="218" spans="1:26" ht="14.25" customHeight="1" x14ac:dyDescent="0.3">
      <c r="A218" s="84"/>
      <c r="B218" s="51"/>
      <c r="C218" s="51"/>
      <c r="D218" s="85"/>
      <c r="E218" s="51"/>
      <c r="F218" s="51"/>
      <c r="G218" s="51"/>
      <c r="H218" s="51"/>
      <c r="I218" s="51"/>
      <c r="J218" s="51"/>
      <c r="K218" s="51"/>
      <c r="L218" s="51"/>
      <c r="M218" s="51"/>
      <c r="N218" s="51"/>
      <c r="O218" s="51"/>
      <c r="P218" s="51"/>
      <c r="Q218" s="51"/>
      <c r="R218" s="51"/>
      <c r="S218" s="51"/>
      <c r="T218" s="51"/>
      <c r="U218" s="51"/>
      <c r="V218" s="51"/>
      <c r="W218" s="51"/>
      <c r="X218" s="51"/>
      <c r="Y218" s="51"/>
      <c r="Z218" s="51"/>
    </row>
    <row r="219" spans="1:26" ht="14.25" customHeight="1" x14ac:dyDescent="0.3">
      <c r="A219" s="84"/>
      <c r="B219" s="51"/>
      <c r="C219" s="51"/>
      <c r="D219" s="85"/>
      <c r="E219" s="51"/>
      <c r="F219" s="51"/>
      <c r="G219" s="51"/>
      <c r="H219" s="51"/>
      <c r="I219" s="51"/>
      <c r="J219" s="51"/>
      <c r="K219" s="51"/>
      <c r="L219" s="51"/>
      <c r="M219" s="51"/>
      <c r="N219" s="51"/>
      <c r="O219" s="51"/>
      <c r="P219" s="51"/>
      <c r="Q219" s="51"/>
      <c r="R219" s="51"/>
      <c r="S219" s="51"/>
      <c r="T219" s="51"/>
      <c r="U219" s="51"/>
      <c r="V219" s="51"/>
      <c r="W219" s="51"/>
      <c r="X219" s="51"/>
      <c r="Y219" s="51"/>
      <c r="Z219" s="51"/>
    </row>
    <row r="220" spans="1:26" ht="14.25" customHeight="1" x14ac:dyDescent="0.3">
      <c r="A220" s="84"/>
      <c r="B220" s="51"/>
      <c r="C220" s="51"/>
      <c r="D220" s="85"/>
      <c r="E220" s="51"/>
      <c r="F220" s="51"/>
      <c r="G220" s="51"/>
      <c r="H220" s="51"/>
      <c r="I220" s="51"/>
      <c r="J220" s="51"/>
      <c r="K220" s="51"/>
      <c r="L220" s="51"/>
      <c r="M220" s="51"/>
      <c r="N220" s="51"/>
      <c r="O220" s="51"/>
      <c r="P220" s="51"/>
      <c r="Q220" s="51"/>
      <c r="R220" s="51"/>
      <c r="S220" s="51"/>
      <c r="T220" s="51"/>
      <c r="U220" s="51"/>
      <c r="V220" s="51"/>
      <c r="W220" s="51"/>
      <c r="X220" s="51"/>
      <c r="Y220" s="51"/>
      <c r="Z220" s="51"/>
    </row>
    <row r="221" spans="1:26" ht="14.25" customHeight="1" x14ac:dyDescent="0.3">
      <c r="A221" s="84"/>
      <c r="B221" s="51"/>
      <c r="C221" s="51"/>
      <c r="D221" s="85"/>
      <c r="E221" s="51"/>
      <c r="F221" s="51"/>
      <c r="G221" s="51"/>
      <c r="H221" s="51"/>
      <c r="I221" s="51"/>
      <c r="J221" s="51"/>
      <c r="K221" s="51"/>
      <c r="L221" s="51"/>
      <c r="M221" s="51"/>
      <c r="N221" s="51"/>
      <c r="O221" s="51"/>
      <c r="P221" s="51"/>
      <c r="Q221" s="51"/>
      <c r="R221" s="51"/>
      <c r="S221" s="51"/>
      <c r="T221" s="51"/>
      <c r="U221" s="51"/>
      <c r="V221" s="51"/>
      <c r="W221" s="51"/>
      <c r="X221" s="51"/>
      <c r="Y221" s="51"/>
      <c r="Z221" s="51"/>
    </row>
    <row r="222" spans="1:26" ht="14.25" customHeight="1" x14ac:dyDescent="0.3">
      <c r="A222" s="84"/>
      <c r="B222" s="51"/>
      <c r="C222" s="51"/>
      <c r="D222" s="85"/>
      <c r="E222" s="51"/>
      <c r="F222" s="51"/>
      <c r="G222" s="51"/>
      <c r="H222" s="51"/>
      <c r="I222" s="51"/>
      <c r="J222" s="51"/>
      <c r="K222" s="51"/>
      <c r="L222" s="51"/>
      <c r="M222" s="51"/>
      <c r="N222" s="51"/>
      <c r="O222" s="51"/>
      <c r="P222" s="51"/>
      <c r="Q222" s="51"/>
      <c r="R222" s="51"/>
      <c r="S222" s="51"/>
      <c r="T222" s="51"/>
      <c r="U222" s="51"/>
      <c r="V222" s="51"/>
      <c r="W222" s="51"/>
      <c r="X222" s="51"/>
      <c r="Y222" s="51"/>
      <c r="Z222" s="51"/>
    </row>
    <row r="223" spans="1:26" ht="14.25" customHeight="1" x14ac:dyDescent="0.3">
      <c r="A223" s="84"/>
      <c r="B223" s="51"/>
      <c r="C223" s="51"/>
      <c r="D223" s="85"/>
      <c r="E223" s="51"/>
      <c r="F223" s="51"/>
      <c r="G223" s="51"/>
      <c r="H223" s="51"/>
      <c r="I223" s="51"/>
      <c r="J223" s="51"/>
      <c r="K223" s="51"/>
      <c r="L223" s="51"/>
      <c r="M223" s="51"/>
      <c r="N223" s="51"/>
      <c r="O223" s="51"/>
      <c r="P223" s="51"/>
      <c r="Q223" s="51"/>
      <c r="R223" s="51"/>
      <c r="S223" s="51"/>
      <c r="T223" s="51"/>
      <c r="U223" s="51"/>
      <c r="V223" s="51"/>
      <c r="W223" s="51"/>
      <c r="X223" s="51"/>
      <c r="Y223" s="51"/>
      <c r="Z223" s="51"/>
    </row>
    <row r="224" spans="1:26" ht="14.25" customHeight="1" x14ac:dyDescent="0.3">
      <c r="A224" s="84"/>
      <c r="B224" s="51"/>
      <c r="C224" s="51"/>
      <c r="D224" s="85"/>
      <c r="E224" s="51"/>
      <c r="F224" s="51"/>
      <c r="G224" s="51"/>
      <c r="H224" s="51"/>
      <c r="I224" s="51"/>
      <c r="J224" s="51"/>
      <c r="K224" s="51"/>
      <c r="L224" s="51"/>
      <c r="M224" s="51"/>
      <c r="N224" s="51"/>
      <c r="O224" s="51"/>
      <c r="P224" s="51"/>
      <c r="Q224" s="51"/>
      <c r="R224" s="51"/>
      <c r="S224" s="51"/>
      <c r="T224" s="51"/>
      <c r="U224" s="51"/>
      <c r="V224" s="51"/>
      <c r="W224" s="51"/>
      <c r="X224" s="51"/>
      <c r="Y224" s="51"/>
      <c r="Z224" s="51"/>
    </row>
    <row r="225" spans="1:26" ht="14.25" customHeight="1" x14ac:dyDescent="0.3">
      <c r="A225" s="84"/>
      <c r="B225" s="51"/>
      <c r="C225" s="51"/>
      <c r="D225" s="85"/>
      <c r="E225" s="51"/>
      <c r="F225" s="51"/>
      <c r="G225" s="51"/>
      <c r="H225" s="51"/>
      <c r="I225" s="51"/>
      <c r="J225" s="51"/>
      <c r="K225" s="51"/>
      <c r="L225" s="51"/>
      <c r="M225" s="51"/>
      <c r="N225" s="51"/>
      <c r="O225" s="51"/>
      <c r="P225" s="51"/>
      <c r="Q225" s="51"/>
      <c r="R225" s="51"/>
      <c r="S225" s="51"/>
      <c r="T225" s="51"/>
      <c r="U225" s="51"/>
      <c r="V225" s="51"/>
      <c r="W225" s="51"/>
      <c r="X225" s="51"/>
      <c r="Y225" s="51"/>
      <c r="Z225" s="51"/>
    </row>
    <row r="226" spans="1:26" ht="14.25" customHeight="1" x14ac:dyDescent="0.3">
      <c r="A226" s="84"/>
      <c r="B226" s="51"/>
      <c r="C226" s="51"/>
      <c r="D226" s="85"/>
      <c r="E226" s="51"/>
      <c r="F226" s="51"/>
      <c r="G226" s="51"/>
      <c r="H226" s="51"/>
      <c r="I226" s="51"/>
      <c r="J226" s="51"/>
      <c r="K226" s="51"/>
      <c r="L226" s="51"/>
      <c r="M226" s="51"/>
      <c r="N226" s="51"/>
      <c r="O226" s="51"/>
      <c r="P226" s="51"/>
      <c r="Q226" s="51"/>
      <c r="R226" s="51"/>
      <c r="S226" s="51"/>
      <c r="T226" s="51"/>
      <c r="U226" s="51"/>
      <c r="V226" s="51"/>
      <c r="W226" s="51"/>
      <c r="X226" s="51"/>
      <c r="Y226" s="51"/>
      <c r="Z226" s="51"/>
    </row>
    <row r="227" spans="1:26" ht="14.25" customHeight="1" x14ac:dyDescent="0.3">
      <c r="A227" s="84"/>
      <c r="B227" s="51"/>
      <c r="C227" s="51"/>
      <c r="D227" s="85"/>
      <c r="E227" s="51"/>
      <c r="F227" s="51"/>
      <c r="G227" s="51"/>
      <c r="H227" s="51"/>
      <c r="I227" s="51"/>
      <c r="J227" s="51"/>
      <c r="K227" s="51"/>
      <c r="L227" s="51"/>
      <c r="M227" s="51"/>
      <c r="N227" s="51"/>
      <c r="O227" s="51"/>
      <c r="P227" s="51"/>
      <c r="Q227" s="51"/>
      <c r="R227" s="51"/>
      <c r="S227" s="51"/>
      <c r="T227" s="51"/>
      <c r="U227" s="51"/>
      <c r="V227" s="51"/>
      <c r="W227" s="51"/>
      <c r="X227" s="51"/>
      <c r="Y227" s="51"/>
      <c r="Z227" s="51"/>
    </row>
    <row r="228" spans="1:26" ht="14.25" customHeight="1" x14ac:dyDescent="0.3">
      <c r="A228" s="84"/>
      <c r="B228" s="51"/>
      <c r="C228" s="51"/>
      <c r="D228" s="85"/>
      <c r="E228" s="51"/>
      <c r="F228" s="51"/>
      <c r="G228" s="51"/>
      <c r="H228" s="51"/>
      <c r="I228" s="51"/>
      <c r="J228" s="51"/>
      <c r="K228" s="51"/>
      <c r="L228" s="51"/>
      <c r="M228" s="51"/>
      <c r="N228" s="51"/>
      <c r="O228" s="51"/>
      <c r="P228" s="51"/>
      <c r="Q228" s="51"/>
      <c r="R228" s="51"/>
      <c r="S228" s="51"/>
      <c r="T228" s="51"/>
      <c r="U228" s="51"/>
      <c r="V228" s="51"/>
      <c r="W228" s="51"/>
      <c r="X228" s="51"/>
      <c r="Y228" s="51"/>
      <c r="Z228" s="51"/>
    </row>
    <row r="229" spans="1:26" ht="14.25" customHeight="1" x14ac:dyDescent="0.3">
      <c r="A229" s="84"/>
      <c r="B229" s="51"/>
      <c r="C229" s="51"/>
      <c r="D229" s="85"/>
      <c r="E229" s="51"/>
      <c r="F229" s="51"/>
      <c r="G229" s="51"/>
      <c r="H229" s="51"/>
      <c r="I229" s="51"/>
      <c r="J229" s="51"/>
      <c r="K229" s="51"/>
      <c r="L229" s="51"/>
      <c r="M229" s="51"/>
      <c r="N229" s="51"/>
      <c r="O229" s="51"/>
      <c r="P229" s="51"/>
      <c r="Q229" s="51"/>
      <c r="R229" s="51"/>
      <c r="S229" s="51"/>
      <c r="T229" s="51"/>
      <c r="U229" s="51"/>
      <c r="V229" s="51"/>
      <c r="W229" s="51"/>
      <c r="X229" s="51"/>
      <c r="Y229" s="51"/>
      <c r="Z229" s="51"/>
    </row>
    <row r="230" spans="1:26" ht="14.25" customHeight="1" x14ac:dyDescent="0.3">
      <c r="A230" s="84"/>
      <c r="B230" s="51"/>
      <c r="C230" s="51"/>
      <c r="D230" s="85"/>
      <c r="E230" s="51"/>
      <c r="F230" s="51"/>
      <c r="G230" s="51"/>
      <c r="H230" s="51"/>
      <c r="I230" s="51"/>
      <c r="J230" s="51"/>
      <c r="K230" s="51"/>
      <c r="L230" s="51"/>
      <c r="M230" s="51"/>
      <c r="N230" s="51"/>
      <c r="O230" s="51"/>
      <c r="P230" s="51"/>
      <c r="Q230" s="51"/>
      <c r="R230" s="51"/>
      <c r="S230" s="51"/>
      <c r="T230" s="51"/>
      <c r="U230" s="51"/>
      <c r="V230" s="51"/>
      <c r="W230" s="51"/>
      <c r="X230" s="51"/>
      <c r="Y230" s="51"/>
      <c r="Z230" s="51"/>
    </row>
    <row r="231" spans="1:26" ht="14.25" customHeight="1" x14ac:dyDescent="0.3">
      <c r="A231" s="84"/>
      <c r="B231" s="51"/>
      <c r="C231" s="51"/>
      <c r="D231" s="85"/>
      <c r="E231" s="51"/>
      <c r="F231" s="51"/>
      <c r="G231" s="51"/>
      <c r="H231" s="51"/>
      <c r="I231" s="51"/>
      <c r="J231" s="51"/>
      <c r="K231" s="51"/>
      <c r="L231" s="51"/>
      <c r="M231" s="51"/>
      <c r="N231" s="51"/>
      <c r="O231" s="51"/>
      <c r="P231" s="51"/>
      <c r="Q231" s="51"/>
      <c r="R231" s="51"/>
      <c r="S231" s="51"/>
      <c r="T231" s="51"/>
      <c r="U231" s="51"/>
      <c r="V231" s="51"/>
      <c r="W231" s="51"/>
      <c r="X231" s="51"/>
      <c r="Y231" s="51"/>
      <c r="Z231" s="51"/>
    </row>
    <row r="232" spans="1:26" ht="14.25" customHeight="1" x14ac:dyDescent="0.3">
      <c r="A232" s="84"/>
      <c r="B232" s="51"/>
      <c r="C232" s="51"/>
      <c r="D232" s="85"/>
      <c r="E232" s="51"/>
      <c r="F232" s="51"/>
      <c r="G232" s="51"/>
      <c r="H232" s="51"/>
      <c r="I232" s="51"/>
      <c r="J232" s="51"/>
      <c r="K232" s="51"/>
      <c r="L232" s="51"/>
      <c r="M232" s="51"/>
      <c r="N232" s="51"/>
      <c r="O232" s="51"/>
      <c r="P232" s="51"/>
      <c r="Q232" s="51"/>
      <c r="R232" s="51"/>
      <c r="S232" s="51"/>
      <c r="T232" s="51"/>
      <c r="U232" s="51"/>
      <c r="V232" s="51"/>
      <c r="W232" s="51"/>
      <c r="X232" s="51"/>
      <c r="Y232" s="51"/>
      <c r="Z232" s="51"/>
    </row>
    <row r="233" spans="1:26" ht="14.25" customHeight="1" x14ac:dyDescent="0.3">
      <c r="A233" s="84"/>
      <c r="B233" s="51"/>
      <c r="C233" s="51"/>
      <c r="D233" s="85"/>
      <c r="E233" s="51"/>
      <c r="F233" s="51"/>
      <c r="G233" s="51"/>
      <c r="H233" s="51"/>
      <c r="I233" s="51"/>
      <c r="J233" s="51"/>
      <c r="K233" s="51"/>
      <c r="L233" s="51"/>
      <c r="M233" s="51"/>
      <c r="N233" s="51"/>
      <c r="O233" s="51"/>
      <c r="P233" s="51"/>
      <c r="Q233" s="51"/>
      <c r="R233" s="51"/>
      <c r="S233" s="51"/>
      <c r="T233" s="51"/>
      <c r="U233" s="51"/>
      <c r="V233" s="51"/>
      <c r="W233" s="51"/>
      <c r="X233" s="51"/>
      <c r="Y233" s="51"/>
      <c r="Z233" s="51"/>
    </row>
    <row r="234" spans="1:26" ht="14.25" customHeight="1" x14ac:dyDescent="0.3">
      <c r="A234" s="84"/>
      <c r="B234" s="51"/>
      <c r="C234" s="51"/>
      <c r="D234" s="85"/>
      <c r="E234" s="51"/>
      <c r="F234" s="51"/>
      <c r="G234" s="51"/>
      <c r="H234" s="51"/>
      <c r="I234" s="51"/>
      <c r="J234" s="51"/>
      <c r="K234" s="51"/>
      <c r="L234" s="51"/>
      <c r="M234" s="51"/>
      <c r="N234" s="51"/>
      <c r="O234" s="51"/>
      <c r="P234" s="51"/>
      <c r="Q234" s="51"/>
      <c r="R234" s="51"/>
      <c r="S234" s="51"/>
      <c r="T234" s="51"/>
      <c r="U234" s="51"/>
      <c r="V234" s="51"/>
      <c r="W234" s="51"/>
      <c r="X234" s="51"/>
      <c r="Y234" s="51"/>
      <c r="Z234" s="51"/>
    </row>
    <row r="235" spans="1:26" ht="14.25" customHeight="1" x14ac:dyDescent="0.3">
      <c r="A235" s="84"/>
      <c r="B235" s="51"/>
      <c r="C235" s="51"/>
      <c r="D235" s="85"/>
      <c r="E235" s="51"/>
      <c r="F235" s="51"/>
      <c r="G235" s="51"/>
      <c r="H235" s="51"/>
      <c r="I235" s="51"/>
      <c r="J235" s="51"/>
      <c r="K235" s="51"/>
      <c r="L235" s="51"/>
      <c r="M235" s="51"/>
      <c r="N235" s="51"/>
      <c r="O235" s="51"/>
      <c r="P235" s="51"/>
      <c r="Q235" s="51"/>
      <c r="R235" s="51"/>
      <c r="S235" s="51"/>
      <c r="T235" s="51"/>
      <c r="U235" s="51"/>
      <c r="V235" s="51"/>
      <c r="W235" s="51"/>
      <c r="X235" s="51"/>
      <c r="Y235" s="51"/>
      <c r="Z235" s="51"/>
    </row>
    <row r="236" spans="1:26" ht="14.25" customHeight="1" x14ac:dyDescent="0.3">
      <c r="A236" s="84"/>
      <c r="B236" s="51"/>
      <c r="C236" s="51"/>
      <c r="D236" s="85"/>
      <c r="E236" s="51"/>
      <c r="F236" s="51"/>
      <c r="G236" s="51"/>
      <c r="H236" s="51"/>
      <c r="I236" s="51"/>
      <c r="J236" s="51"/>
      <c r="K236" s="51"/>
      <c r="L236" s="51"/>
      <c r="M236" s="51"/>
      <c r="N236" s="51"/>
      <c r="O236" s="51"/>
      <c r="P236" s="51"/>
      <c r="Q236" s="51"/>
      <c r="R236" s="51"/>
      <c r="S236" s="51"/>
      <c r="T236" s="51"/>
      <c r="U236" s="51"/>
      <c r="V236" s="51"/>
      <c r="W236" s="51"/>
      <c r="X236" s="51"/>
      <c r="Y236" s="51"/>
      <c r="Z236" s="51"/>
    </row>
    <row r="237" spans="1:26" ht="14.25" customHeight="1" x14ac:dyDescent="0.3">
      <c r="A237" s="84"/>
      <c r="B237" s="51"/>
      <c r="C237" s="51"/>
      <c r="D237" s="85"/>
      <c r="E237" s="51"/>
      <c r="F237" s="51"/>
      <c r="G237" s="51"/>
      <c r="H237" s="51"/>
      <c r="I237" s="51"/>
      <c r="J237" s="51"/>
      <c r="K237" s="51"/>
      <c r="L237" s="51"/>
      <c r="M237" s="51"/>
      <c r="N237" s="51"/>
      <c r="O237" s="51"/>
      <c r="P237" s="51"/>
      <c r="Q237" s="51"/>
      <c r="R237" s="51"/>
      <c r="S237" s="51"/>
      <c r="T237" s="51"/>
      <c r="U237" s="51"/>
      <c r="V237" s="51"/>
      <c r="W237" s="51"/>
      <c r="X237" s="51"/>
      <c r="Y237" s="51"/>
      <c r="Z237" s="51"/>
    </row>
    <row r="238" spans="1:26" ht="14.25" customHeight="1" x14ac:dyDescent="0.3">
      <c r="A238" s="84"/>
      <c r="B238" s="51"/>
      <c r="C238" s="51"/>
      <c r="D238" s="85"/>
      <c r="E238" s="51"/>
      <c r="F238" s="51"/>
      <c r="G238" s="51"/>
      <c r="H238" s="51"/>
      <c r="I238" s="51"/>
      <c r="J238" s="51"/>
      <c r="K238" s="51"/>
      <c r="L238" s="51"/>
      <c r="M238" s="51"/>
      <c r="N238" s="51"/>
      <c r="O238" s="51"/>
      <c r="P238" s="51"/>
      <c r="Q238" s="51"/>
      <c r="R238" s="51"/>
      <c r="S238" s="51"/>
      <c r="T238" s="51"/>
      <c r="U238" s="51"/>
      <c r="V238" s="51"/>
      <c r="W238" s="51"/>
      <c r="X238" s="51"/>
      <c r="Y238" s="51"/>
      <c r="Z238" s="51"/>
    </row>
    <row r="239" spans="1:26" ht="14.25" customHeight="1" x14ac:dyDescent="0.3">
      <c r="A239" s="84"/>
      <c r="B239" s="51"/>
      <c r="C239" s="51"/>
      <c r="D239" s="85"/>
      <c r="E239" s="51"/>
      <c r="F239" s="51"/>
      <c r="G239" s="51"/>
      <c r="H239" s="51"/>
      <c r="I239" s="51"/>
      <c r="J239" s="51"/>
      <c r="K239" s="51"/>
      <c r="L239" s="51"/>
      <c r="M239" s="51"/>
      <c r="N239" s="51"/>
      <c r="O239" s="51"/>
      <c r="P239" s="51"/>
      <c r="Q239" s="51"/>
      <c r="R239" s="51"/>
      <c r="S239" s="51"/>
      <c r="T239" s="51"/>
      <c r="U239" s="51"/>
      <c r="V239" s="51"/>
      <c r="W239" s="51"/>
      <c r="X239" s="51"/>
      <c r="Y239" s="51"/>
      <c r="Z239" s="51"/>
    </row>
    <row r="240" spans="1:26" ht="14.25" customHeight="1" x14ac:dyDescent="0.3">
      <c r="A240" s="84"/>
      <c r="B240" s="51"/>
      <c r="C240" s="51"/>
      <c r="D240" s="85"/>
      <c r="E240" s="51"/>
      <c r="F240" s="51"/>
      <c r="G240" s="51"/>
      <c r="H240" s="51"/>
      <c r="I240" s="51"/>
      <c r="J240" s="51"/>
      <c r="K240" s="51"/>
      <c r="L240" s="51"/>
      <c r="M240" s="51"/>
      <c r="N240" s="51"/>
      <c r="O240" s="51"/>
      <c r="P240" s="51"/>
      <c r="Q240" s="51"/>
      <c r="R240" s="51"/>
      <c r="S240" s="51"/>
      <c r="T240" s="51"/>
      <c r="U240" s="51"/>
      <c r="V240" s="51"/>
      <c r="W240" s="51"/>
      <c r="X240" s="51"/>
      <c r="Y240" s="51"/>
      <c r="Z240" s="51"/>
    </row>
    <row r="241" spans="1:26" ht="14.25" customHeight="1" x14ac:dyDescent="0.3">
      <c r="A241" s="84"/>
      <c r="B241" s="51"/>
      <c r="C241" s="51"/>
      <c r="D241" s="85"/>
      <c r="E241" s="51"/>
      <c r="F241" s="51"/>
      <c r="G241" s="51"/>
      <c r="H241" s="51"/>
      <c r="I241" s="51"/>
      <c r="J241" s="51"/>
      <c r="K241" s="51"/>
      <c r="L241" s="51"/>
      <c r="M241" s="51"/>
      <c r="N241" s="51"/>
      <c r="O241" s="51"/>
      <c r="P241" s="51"/>
      <c r="Q241" s="51"/>
      <c r="R241" s="51"/>
      <c r="S241" s="51"/>
      <c r="T241" s="51"/>
      <c r="U241" s="51"/>
      <c r="V241" s="51"/>
      <c r="W241" s="51"/>
      <c r="X241" s="51"/>
      <c r="Y241" s="51"/>
      <c r="Z241" s="51"/>
    </row>
    <row r="242" spans="1:26" ht="14.25" customHeight="1" x14ac:dyDescent="0.3">
      <c r="A242" s="84"/>
      <c r="B242" s="51"/>
      <c r="C242" s="51"/>
      <c r="D242" s="85"/>
      <c r="E242" s="51"/>
      <c r="F242" s="51"/>
      <c r="G242" s="51"/>
      <c r="H242" s="51"/>
      <c r="I242" s="51"/>
      <c r="J242" s="51"/>
      <c r="K242" s="51"/>
      <c r="L242" s="51"/>
      <c r="M242" s="51"/>
      <c r="N242" s="51"/>
      <c r="O242" s="51"/>
      <c r="P242" s="51"/>
      <c r="Q242" s="51"/>
      <c r="R242" s="51"/>
      <c r="S242" s="51"/>
      <c r="T242" s="51"/>
      <c r="U242" s="51"/>
      <c r="V242" s="51"/>
      <c r="W242" s="51"/>
      <c r="X242" s="51"/>
      <c r="Y242" s="51"/>
      <c r="Z242" s="51"/>
    </row>
    <row r="243" spans="1:26" ht="14.25" customHeight="1" x14ac:dyDescent="0.3">
      <c r="A243" s="84"/>
      <c r="B243" s="51"/>
      <c r="C243" s="51"/>
      <c r="D243" s="85"/>
      <c r="E243" s="51"/>
      <c r="F243" s="51"/>
      <c r="G243" s="51"/>
      <c r="H243" s="51"/>
      <c r="I243" s="51"/>
      <c r="J243" s="51"/>
      <c r="K243" s="51"/>
      <c r="L243" s="51"/>
      <c r="M243" s="51"/>
      <c r="N243" s="51"/>
      <c r="O243" s="51"/>
      <c r="P243" s="51"/>
      <c r="Q243" s="51"/>
      <c r="R243" s="51"/>
      <c r="S243" s="51"/>
      <c r="T243" s="51"/>
      <c r="U243" s="51"/>
      <c r="V243" s="51"/>
      <c r="W243" s="51"/>
      <c r="X243" s="51"/>
      <c r="Y243" s="51"/>
      <c r="Z243" s="51"/>
    </row>
    <row r="244" spans="1:26" ht="14.25" customHeight="1" x14ac:dyDescent="0.3">
      <c r="A244" s="84"/>
      <c r="B244" s="51"/>
      <c r="C244" s="51"/>
      <c r="D244" s="85"/>
      <c r="E244" s="51"/>
      <c r="F244" s="51"/>
      <c r="G244" s="51"/>
      <c r="H244" s="51"/>
      <c r="I244" s="51"/>
      <c r="J244" s="51"/>
      <c r="K244" s="51"/>
      <c r="L244" s="51"/>
      <c r="M244" s="51"/>
      <c r="N244" s="51"/>
      <c r="O244" s="51"/>
      <c r="P244" s="51"/>
      <c r="Q244" s="51"/>
      <c r="R244" s="51"/>
      <c r="S244" s="51"/>
      <c r="T244" s="51"/>
      <c r="U244" s="51"/>
      <c r="V244" s="51"/>
      <c r="W244" s="51"/>
      <c r="X244" s="51"/>
      <c r="Y244" s="51"/>
      <c r="Z244" s="51"/>
    </row>
    <row r="245" spans="1:26" ht="14.25" customHeight="1" x14ac:dyDescent="0.3">
      <c r="A245" s="84"/>
      <c r="B245" s="51"/>
      <c r="C245" s="51"/>
      <c r="D245" s="85"/>
      <c r="E245" s="51"/>
      <c r="F245" s="51"/>
      <c r="G245" s="51"/>
      <c r="H245" s="51"/>
      <c r="I245" s="51"/>
      <c r="J245" s="51"/>
      <c r="K245" s="51"/>
      <c r="L245" s="51"/>
      <c r="M245" s="51"/>
      <c r="N245" s="51"/>
      <c r="O245" s="51"/>
      <c r="P245" s="51"/>
      <c r="Q245" s="51"/>
      <c r="R245" s="51"/>
      <c r="S245" s="51"/>
      <c r="T245" s="51"/>
      <c r="U245" s="51"/>
      <c r="V245" s="51"/>
      <c r="W245" s="51"/>
      <c r="X245" s="51"/>
      <c r="Y245" s="51"/>
      <c r="Z245" s="51"/>
    </row>
    <row r="246" spans="1:26" ht="14.25" customHeight="1" x14ac:dyDescent="0.3">
      <c r="A246" s="84"/>
      <c r="B246" s="51"/>
      <c r="C246" s="51"/>
      <c r="D246" s="85"/>
      <c r="E246" s="51"/>
      <c r="F246" s="51"/>
      <c r="G246" s="51"/>
      <c r="H246" s="51"/>
      <c r="I246" s="51"/>
      <c r="J246" s="51"/>
      <c r="K246" s="51"/>
      <c r="L246" s="51"/>
      <c r="M246" s="51"/>
      <c r="N246" s="51"/>
      <c r="O246" s="51"/>
      <c r="P246" s="51"/>
      <c r="Q246" s="51"/>
      <c r="R246" s="51"/>
      <c r="S246" s="51"/>
      <c r="T246" s="51"/>
      <c r="U246" s="51"/>
      <c r="V246" s="51"/>
      <c r="W246" s="51"/>
      <c r="X246" s="51"/>
      <c r="Y246" s="51"/>
      <c r="Z246" s="51"/>
    </row>
    <row r="247" spans="1:26" ht="14.25" customHeight="1" x14ac:dyDescent="0.3">
      <c r="A247" s="84"/>
      <c r="B247" s="51"/>
      <c r="C247" s="51"/>
      <c r="D247" s="85"/>
      <c r="E247" s="51"/>
      <c r="F247" s="51"/>
      <c r="G247" s="51"/>
      <c r="H247" s="51"/>
      <c r="I247" s="51"/>
      <c r="J247" s="51"/>
      <c r="K247" s="51"/>
      <c r="L247" s="51"/>
      <c r="M247" s="51"/>
      <c r="N247" s="51"/>
      <c r="O247" s="51"/>
      <c r="P247" s="51"/>
      <c r="Q247" s="51"/>
      <c r="R247" s="51"/>
      <c r="S247" s="51"/>
      <c r="T247" s="51"/>
      <c r="U247" s="51"/>
      <c r="V247" s="51"/>
      <c r="W247" s="51"/>
      <c r="X247" s="51"/>
      <c r="Y247" s="51"/>
      <c r="Z247" s="51"/>
    </row>
    <row r="248" spans="1:26" ht="14.25" customHeight="1" x14ac:dyDescent="0.3">
      <c r="A248" s="84"/>
      <c r="B248" s="51"/>
      <c r="C248" s="51"/>
      <c r="D248" s="85"/>
      <c r="E248" s="51"/>
      <c r="F248" s="51"/>
      <c r="G248" s="51"/>
      <c r="H248" s="51"/>
      <c r="I248" s="51"/>
      <c r="J248" s="51"/>
      <c r="K248" s="51"/>
      <c r="L248" s="51"/>
      <c r="M248" s="51"/>
      <c r="N248" s="51"/>
      <c r="O248" s="51"/>
      <c r="P248" s="51"/>
      <c r="Q248" s="51"/>
      <c r="R248" s="51"/>
      <c r="S248" s="51"/>
      <c r="T248" s="51"/>
      <c r="U248" s="51"/>
      <c r="V248" s="51"/>
      <c r="W248" s="51"/>
      <c r="X248" s="51"/>
      <c r="Y248" s="51"/>
      <c r="Z248" s="51"/>
    </row>
    <row r="249" spans="1:26" ht="14.25" customHeight="1" x14ac:dyDescent="0.3">
      <c r="A249" s="84"/>
      <c r="B249" s="51"/>
      <c r="C249" s="51"/>
      <c r="D249" s="85"/>
      <c r="E249" s="51"/>
      <c r="F249" s="51"/>
      <c r="G249" s="51"/>
      <c r="H249" s="51"/>
      <c r="I249" s="51"/>
      <c r="J249" s="51"/>
      <c r="K249" s="51"/>
      <c r="L249" s="51"/>
      <c r="M249" s="51"/>
      <c r="N249" s="51"/>
      <c r="O249" s="51"/>
      <c r="P249" s="51"/>
      <c r="Q249" s="51"/>
      <c r="R249" s="51"/>
      <c r="S249" s="51"/>
      <c r="T249" s="51"/>
      <c r="U249" s="51"/>
      <c r="V249" s="51"/>
      <c r="W249" s="51"/>
      <c r="X249" s="51"/>
      <c r="Y249" s="51"/>
      <c r="Z249" s="51"/>
    </row>
    <row r="250" spans="1:26" ht="14.25" customHeight="1" x14ac:dyDescent="0.3">
      <c r="A250" s="84"/>
      <c r="B250" s="51"/>
      <c r="C250" s="51"/>
      <c r="D250" s="85"/>
      <c r="E250" s="51"/>
      <c r="F250" s="51"/>
      <c r="G250" s="51"/>
      <c r="H250" s="51"/>
      <c r="I250" s="51"/>
      <c r="J250" s="51"/>
      <c r="K250" s="51"/>
      <c r="L250" s="51"/>
      <c r="M250" s="51"/>
      <c r="N250" s="51"/>
      <c r="O250" s="51"/>
      <c r="P250" s="51"/>
      <c r="Q250" s="51"/>
      <c r="R250" s="51"/>
      <c r="S250" s="51"/>
      <c r="T250" s="51"/>
      <c r="U250" s="51"/>
      <c r="V250" s="51"/>
      <c r="W250" s="51"/>
      <c r="X250" s="51"/>
      <c r="Y250" s="51"/>
      <c r="Z250" s="51"/>
    </row>
    <row r="251" spans="1:26" ht="14.25" customHeight="1" x14ac:dyDescent="0.3">
      <c r="A251" s="84"/>
      <c r="B251" s="51"/>
      <c r="C251" s="51"/>
      <c r="D251" s="85"/>
      <c r="E251" s="51"/>
      <c r="F251" s="51"/>
      <c r="G251" s="51"/>
      <c r="H251" s="51"/>
      <c r="I251" s="51"/>
      <c r="J251" s="51"/>
      <c r="K251" s="51"/>
      <c r="L251" s="51"/>
      <c r="M251" s="51"/>
      <c r="N251" s="51"/>
      <c r="O251" s="51"/>
      <c r="P251" s="51"/>
      <c r="Q251" s="51"/>
      <c r="R251" s="51"/>
      <c r="S251" s="51"/>
      <c r="T251" s="51"/>
      <c r="U251" s="51"/>
      <c r="V251" s="51"/>
      <c r="W251" s="51"/>
      <c r="X251" s="51"/>
      <c r="Y251" s="51"/>
      <c r="Z251" s="51"/>
    </row>
    <row r="252" spans="1:26" ht="14.25" customHeight="1" x14ac:dyDescent="0.3">
      <c r="A252" s="84"/>
      <c r="B252" s="51"/>
      <c r="C252" s="51"/>
      <c r="D252" s="85"/>
      <c r="E252" s="51"/>
      <c r="F252" s="51"/>
      <c r="G252" s="51"/>
      <c r="H252" s="51"/>
      <c r="I252" s="51"/>
      <c r="J252" s="51"/>
      <c r="K252" s="51"/>
      <c r="L252" s="51"/>
      <c r="M252" s="51"/>
      <c r="N252" s="51"/>
      <c r="O252" s="51"/>
      <c r="P252" s="51"/>
      <c r="Q252" s="51"/>
      <c r="R252" s="51"/>
      <c r="S252" s="51"/>
      <c r="T252" s="51"/>
      <c r="U252" s="51"/>
      <c r="V252" s="51"/>
      <c r="W252" s="51"/>
      <c r="X252" s="51"/>
      <c r="Y252" s="51"/>
      <c r="Z252" s="51"/>
    </row>
    <row r="253" spans="1:26" ht="14.25" customHeight="1" x14ac:dyDescent="0.3">
      <c r="A253" s="84"/>
      <c r="B253" s="51"/>
      <c r="C253" s="51"/>
      <c r="D253" s="85"/>
      <c r="E253" s="51"/>
      <c r="F253" s="51"/>
      <c r="G253" s="51"/>
      <c r="H253" s="51"/>
      <c r="I253" s="51"/>
      <c r="J253" s="51"/>
      <c r="K253" s="51"/>
      <c r="L253" s="51"/>
      <c r="M253" s="51"/>
      <c r="N253" s="51"/>
      <c r="O253" s="51"/>
      <c r="P253" s="51"/>
      <c r="Q253" s="51"/>
      <c r="R253" s="51"/>
      <c r="S253" s="51"/>
      <c r="T253" s="51"/>
      <c r="U253" s="51"/>
      <c r="V253" s="51"/>
      <c r="W253" s="51"/>
      <c r="X253" s="51"/>
      <c r="Y253" s="51"/>
      <c r="Z253" s="51"/>
    </row>
    <row r="254" spans="1:26" ht="14.25" customHeight="1" x14ac:dyDescent="0.3">
      <c r="A254" s="84"/>
      <c r="B254" s="51"/>
      <c r="C254" s="51"/>
      <c r="D254" s="85"/>
      <c r="E254" s="51"/>
      <c r="F254" s="51"/>
      <c r="G254" s="51"/>
      <c r="H254" s="51"/>
      <c r="I254" s="51"/>
      <c r="J254" s="51"/>
      <c r="K254" s="51"/>
      <c r="L254" s="51"/>
      <c r="M254" s="51"/>
      <c r="N254" s="51"/>
      <c r="O254" s="51"/>
      <c r="P254" s="51"/>
      <c r="Q254" s="51"/>
      <c r="R254" s="51"/>
      <c r="S254" s="51"/>
      <c r="T254" s="51"/>
      <c r="U254" s="51"/>
      <c r="V254" s="51"/>
      <c r="W254" s="51"/>
      <c r="X254" s="51"/>
      <c r="Y254" s="51"/>
      <c r="Z254" s="51"/>
    </row>
    <row r="255" spans="1:26" ht="14.25" customHeight="1" x14ac:dyDescent="0.3">
      <c r="A255" s="84"/>
      <c r="B255" s="51"/>
      <c r="C255" s="51"/>
      <c r="D255" s="85"/>
      <c r="E255" s="51"/>
      <c r="F255" s="51"/>
      <c r="G255" s="51"/>
      <c r="H255" s="51"/>
      <c r="I255" s="51"/>
      <c r="J255" s="51"/>
      <c r="K255" s="51"/>
      <c r="L255" s="51"/>
      <c r="M255" s="51"/>
      <c r="N255" s="51"/>
      <c r="O255" s="51"/>
      <c r="P255" s="51"/>
      <c r="Q255" s="51"/>
      <c r="R255" s="51"/>
      <c r="S255" s="51"/>
      <c r="T255" s="51"/>
      <c r="U255" s="51"/>
      <c r="V255" s="51"/>
      <c r="W255" s="51"/>
      <c r="X255" s="51"/>
      <c r="Y255" s="51"/>
      <c r="Z255" s="51"/>
    </row>
    <row r="256" spans="1:26" ht="14.25" customHeight="1" x14ac:dyDescent="0.3">
      <c r="A256" s="84"/>
      <c r="B256" s="51"/>
      <c r="C256" s="51"/>
      <c r="D256" s="85"/>
      <c r="E256" s="51"/>
      <c r="F256" s="51"/>
      <c r="G256" s="51"/>
      <c r="H256" s="51"/>
      <c r="I256" s="51"/>
      <c r="J256" s="51"/>
      <c r="K256" s="51"/>
      <c r="L256" s="51"/>
      <c r="M256" s="51"/>
      <c r="N256" s="51"/>
      <c r="O256" s="51"/>
      <c r="P256" s="51"/>
      <c r="Q256" s="51"/>
      <c r="R256" s="51"/>
      <c r="S256" s="51"/>
      <c r="T256" s="51"/>
      <c r="U256" s="51"/>
      <c r="V256" s="51"/>
      <c r="W256" s="51"/>
      <c r="X256" s="51"/>
      <c r="Y256" s="51"/>
      <c r="Z256" s="51"/>
    </row>
    <row r="257" spans="1:26" ht="14.25" customHeight="1" x14ac:dyDescent="0.3">
      <c r="A257" s="84"/>
      <c r="B257" s="51"/>
      <c r="C257" s="51"/>
      <c r="D257" s="85"/>
      <c r="E257" s="51"/>
      <c r="F257" s="51"/>
      <c r="G257" s="51"/>
      <c r="H257" s="51"/>
      <c r="I257" s="51"/>
      <c r="J257" s="51"/>
      <c r="K257" s="51"/>
      <c r="L257" s="51"/>
      <c r="M257" s="51"/>
      <c r="N257" s="51"/>
      <c r="O257" s="51"/>
      <c r="P257" s="51"/>
      <c r="Q257" s="51"/>
      <c r="R257" s="51"/>
      <c r="S257" s="51"/>
      <c r="T257" s="51"/>
      <c r="U257" s="51"/>
      <c r="V257" s="51"/>
      <c r="W257" s="51"/>
      <c r="X257" s="51"/>
      <c r="Y257" s="51"/>
      <c r="Z257" s="51"/>
    </row>
    <row r="258" spans="1:26" ht="14.25" customHeight="1" x14ac:dyDescent="0.3">
      <c r="A258" s="84"/>
      <c r="B258" s="51"/>
      <c r="C258" s="51"/>
      <c r="D258" s="85"/>
      <c r="E258" s="51"/>
      <c r="F258" s="51"/>
      <c r="G258" s="51"/>
      <c r="H258" s="51"/>
      <c r="I258" s="51"/>
      <c r="J258" s="51"/>
      <c r="K258" s="51"/>
      <c r="L258" s="51"/>
      <c r="M258" s="51"/>
      <c r="N258" s="51"/>
      <c r="O258" s="51"/>
      <c r="P258" s="51"/>
      <c r="Q258" s="51"/>
      <c r="R258" s="51"/>
      <c r="S258" s="51"/>
      <c r="T258" s="51"/>
      <c r="U258" s="51"/>
      <c r="V258" s="51"/>
      <c r="W258" s="51"/>
      <c r="X258" s="51"/>
      <c r="Y258" s="51"/>
      <c r="Z258" s="51"/>
    </row>
  </sheetData>
  <mergeCells count="55">
    <mergeCell ref="F53:I53"/>
    <mergeCell ref="F52:I52"/>
    <mergeCell ref="B55:I55"/>
    <mergeCell ref="B56:I56"/>
    <mergeCell ref="D58:I58"/>
    <mergeCell ref="B57:I57"/>
    <mergeCell ref="B43:C43"/>
    <mergeCell ref="B44:C44"/>
    <mergeCell ref="A45:F45"/>
    <mergeCell ref="A46:F46"/>
    <mergeCell ref="F49:I49"/>
    <mergeCell ref="A48:I48"/>
    <mergeCell ref="B42:C42"/>
    <mergeCell ref="B41:C41"/>
    <mergeCell ref="B31:D31"/>
    <mergeCell ref="B32:D32"/>
    <mergeCell ref="B33:D33"/>
    <mergeCell ref="B34:D34"/>
    <mergeCell ref="B40:C40"/>
    <mergeCell ref="B35:D35"/>
    <mergeCell ref="A36:F36"/>
    <mergeCell ref="B37:F37"/>
    <mergeCell ref="B38:C38"/>
    <mergeCell ref="B39:C39"/>
    <mergeCell ref="A6:I6"/>
    <mergeCell ref="B7:I7"/>
    <mergeCell ref="B14:I14"/>
    <mergeCell ref="B8:I8"/>
    <mergeCell ref="B9:I9"/>
    <mergeCell ref="B10:I10"/>
    <mergeCell ref="B11:I11"/>
    <mergeCell ref="B12:I12"/>
    <mergeCell ref="B13:I13"/>
    <mergeCell ref="A5:I5"/>
    <mergeCell ref="A1:I1"/>
    <mergeCell ref="H2:I2"/>
    <mergeCell ref="A3:B4"/>
    <mergeCell ref="F3:I3"/>
    <mergeCell ref="F4:I4"/>
    <mergeCell ref="B27:D27"/>
    <mergeCell ref="B30:D30"/>
    <mergeCell ref="B15:D15"/>
    <mergeCell ref="B16:D16"/>
    <mergeCell ref="B29:D29"/>
    <mergeCell ref="B18:D18"/>
    <mergeCell ref="B19:D19"/>
    <mergeCell ref="B28:D28"/>
    <mergeCell ref="B17:D17"/>
    <mergeCell ref="B22:D22"/>
    <mergeCell ref="B23:D23"/>
    <mergeCell ref="B24:D24"/>
    <mergeCell ref="B25:D25"/>
    <mergeCell ref="B26:D26"/>
    <mergeCell ref="B20:D20"/>
    <mergeCell ref="B21:D21"/>
  </mergeCells>
  <printOptions horizontalCentered="1"/>
  <pageMargins left="0.19685039370078741" right="0.19685039370078741" top="0.19685039370078741" bottom="0.19685039370078741" header="0" footer="0"/>
  <pageSetup paperSize="9" scale="95"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41"/>
  <sheetViews>
    <sheetView zoomScale="85" zoomScaleNormal="85" workbookViewId="0">
      <pane ySplit="6" topLeftCell="A7" activePane="bottomLeft" state="frozen"/>
      <selection pane="bottomLeft" activeCell="K7" sqref="K7"/>
    </sheetView>
  </sheetViews>
  <sheetFormatPr defaultColWidth="14.33203125" defaultRowHeight="15" customHeight="1" x14ac:dyDescent="0.3"/>
  <cols>
    <col min="1" max="1" width="5.77734375" customWidth="1"/>
    <col min="2" max="2" width="67.33203125" customWidth="1"/>
    <col min="3" max="3" width="13.21875" customWidth="1"/>
    <col min="4" max="4" width="13.6640625" style="114" customWidth="1"/>
    <col min="5" max="5" width="14.33203125" style="114" customWidth="1"/>
    <col min="6" max="6" width="11.109375" customWidth="1"/>
    <col min="7" max="7" width="11.77734375" customWidth="1"/>
    <col min="8" max="8" width="9.88671875" customWidth="1"/>
    <col min="9" max="9" width="12.6640625" style="114" customWidth="1"/>
    <col min="10" max="11" width="10.6640625" customWidth="1"/>
  </cols>
  <sheetData>
    <row r="1" spans="1:26" ht="24.75" customHeight="1" x14ac:dyDescent="0.3">
      <c r="A1" s="193" t="s">
        <v>371</v>
      </c>
      <c r="B1" s="194"/>
      <c r="C1" s="103"/>
      <c r="D1" s="103"/>
      <c r="E1" s="104"/>
      <c r="F1" s="195" t="s">
        <v>0</v>
      </c>
      <c r="G1" s="194"/>
      <c r="H1" s="194"/>
      <c r="I1" s="194"/>
      <c r="J1" s="102"/>
      <c r="K1" s="102"/>
      <c r="L1" s="102"/>
      <c r="M1" s="102"/>
      <c r="N1" s="102"/>
      <c r="O1" s="102"/>
      <c r="P1" s="102"/>
      <c r="Q1" s="102"/>
      <c r="R1" s="102"/>
      <c r="S1" s="102"/>
      <c r="T1" s="102"/>
      <c r="U1" s="102"/>
      <c r="V1" s="102"/>
      <c r="W1" s="102"/>
      <c r="X1" s="102"/>
      <c r="Y1" s="102"/>
      <c r="Z1" s="102"/>
    </row>
    <row r="2" spans="1:26" ht="24.75" customHeight="1" x14ac:dyDescent="0.3">
      <c r="A2" s="194"/>
      <c r="B2" s="194"/>
      <c r="C2" s="103"/>
      <c r="D2" s="103"/>
      <c r="E2" s="104"/>
      <c r="F2" s="196" t="s">
        <v>372</v>
      </c>
      <c r="G2" s="194"/>
      <c r="H2" s="194"/>
      <c r="I2" s="194"/>
      <c r="J2" s="102"/>
      <c r="K2" s="102"/>
      <c r="L2" s="102"/>
      <c r="M2" s="102"/>
      <c r="N2" s="102"/>
      <c r="O2" s="102"/>
      <c r="P2" s="102"/>
      <c r="Q2" s="102"/>
      <c r="R2" s="102"/>
      <c r="S2" s="102"/>
      <c r="T2" s="102"/>
      <c r="U2" s="102"/>
      <c r="V2" s="102"/>
      <c r="W2" s="102"/>
      <c r="X2" s="102"/>
      <c r="Y2" s="102"/>
      <c r="Z2" s="102"/>
    </row>
    <row r="3" spans="1:26" ht="22.5" customHeight="1" x14ac:dyDescent="0.3"/>
    <row r="4" spans="1:26" ht="46.5" customHeight="1" x14ac:dyDescent="0.35">
      <c r="A4" s="192" t="s">
        <v>357</v>
      </c>
      <c r="B4" s="192"/>
      <c r="C4" s="192"/>
      <c r="D4" s="192"/>
      <c r="E4" s="192"/>
      <c r="F4" s="192"/>
      <c r="G4" s="192"/>
      <c r="H4" s="192"/>
      <c r="I4" s="43"/>
      <c r="J4" s="11"/>
      <c r="K4" s="11"/>
    </row>
    <row r="5" spans="1:26" ht="60" customHeight="1" x14ac:dyDescent="0.3">
      <c r="A5" s="12" t="s">
        <v>1</v>
      </c>
      <c r="B5" s="110" t="s">
        <v>2</v>
      </c>
      <c r="C5" s="110" t="s">
        <v>3</v>
      </c>
      <c r="D5" s="110" t="s">
        <v>4</v>
      </c>
      <c r="E5" s="110" t="s">
        <v>5</v>
      </c>
      <c r="F5" s="110" t="s">
        <v>6</v>
      </c>
      <c r="G5" s="110" t="s">
        <v>7</v>
      </c>
      <c r="H5" s="130" t="s">
        <v>8</v>
      </c>
      <c r="I5" s="110" t="s">
        <v>9</v>
      </c>
      <c r="J5" s="11"/>
      <c r="K5" s="11"/>
    </row>
    <row r="6" spans="1:26" ht="15.75" customHeight="1" x14ac:dyDescent="0.3">
      <c r="A6" s="131">
        <v>1</v>
      </c>
      <c r="B6" s="131">
        <v>2</v>
      </c>
      <c r="C6" s="147">
        <v>3</v>
      </c>
      <c r="D6" s="147">
        <v>4</v>
      </c>
      <c r="E6" s="147">
        <v>5</v>
      </c>
      <c r="F6" s="147">
        <v>6</v>
      </c>
      <c r="G6" s="147">
        <v>7</v>
      </c>
      <c r="H6" s="147">
        <v>8</v>
      </c>
      <c r="I6" s="147">
        <v>9</v>
      </c>
      <c r="J6" s="11"/>
      <c r="K6" s="11"/>
    </row>
    <row r="7" spans="1:26" s="143" customFormat="1" ht="28.2" customHeight="1" x14ac:dyDescent="0.3">
      <c r="A7" s="144" t="s">
        <v>10</v>
      </c>
      <c r="B7" s="148" t="s">
        <v>351</v>
      </c>
      <c r="C7" s="145"/>
      <c r="D7" s="145"/>
      <c r="E7" s="145"/>
      <c r="F7" s="145"/>
      <c r="G7" s="145"/>
      <c r="H7" s="145"/>
      <c r="I7" s="145"/>
      <c r="J7" s="146"/>
      <c r="K7" s="146"/>
      <c r="L7" s="146"/>
      <c r="M7" s="146"/>
      <c r="N7" s="146"/>
    </row>
    <row r="8" spans="1:26" s="132" customFormat="1" ht="16.8" x14ac:dyDescent="0.3">
      <c r="A8" s="107">
        <v>1</v>
      </c>
      <c r="B8" s="171"/>
      <c r="C8" s="179"/>
      <c r="D8" s="173"/>
      <c r="E8" s="179"/>
      <c r="F8" s="172"/>
      <c r="G8" s="174"/>
      <c r="H8" s="107">
        <f>G8*F8</f>
        <v>0</v>
      </c>
      <c r="I8" s="172"/>
    </row>
    <row r="9" spans="1:26" s="132" customFormat="1" ht="15.6" x14ac:dyDescent="0.3">
      <c r="A9" s="107">
        <v>2</v>
      </c>
      <c r="B9" s="175"/>
      <c r="C9" s="172"/>
      <c r="D9" s="173"/>
      <c r="E9" s="172"/>
      <c r="F9" s="172"/>
      <c r="G9" s="174"/>
      <c r="H9" s="107">
        <f t="shared" ref="H9:H47" si="0">G9*F9</f>
        <v>0</v>
      </c>
      <c r="I9" s="172"/>
    </row>
    <row r="10" spans="1:26" s="132" customFormat="1" ht="15.6" x14ac:dyDescent="0.3">
      <c r="A10" s="107">
        <v>3</v>
      </c>
      <c r="B10" s="175"/>
      <c r="C10" s="172"/>
      <c r="D10" s="173"/>
      <c r="E10" s="172"/>
      <c r="F10" s="172"/>
      <c r="G10" s="174"/>
      <c r="H10" s="107">
        <f t="shared" si="0"/>
        <v>0</v>
      </c>
      <c r="I10" s="172"/>
    </row>
    <row r="11" spans="1:26" s="132" customFormat="1" ht="15.6" x14ac:dyDescent="0.3">
      <c r="A11" s="107">
        <v>4</v>
      </c>
      <c r="B11" s="175"/>
      <c r="C11" s="172"/>
      <c r="D11" s="176"/>
      <c r="E11" s="177"/>
      <c r="F11" s="172"/>
      <c r="G11" s="174"/>
      <c r="H11" s="107">
        <f t="shared" si="0"/>
        <v>0</v>
      </c>
      <c r="I11" s="172"/>
    </row>
    <row r="12" spans="1:26" s="132" customFormat="1" ht="15.6" x14ac:dyDescent="0.3">
      <c r="A12" s="107">
        <v>5</v>
      </c>
      <c r="B12" s="178"/>
      <c r="C12" s="172"/>
      <c r="D12" s="176"/>
      <c r="E12" s="172"/>
      <c r="F12" s="172"/>
      <c r="G12" s="174"/>
      <c r="H12" s="107">
        <f t="shared" si="0"/>
        <v>0</v>
      </c>
      <c r="I12" s="172"/>
    </row>
    <row r="13" spans="1:26" s="132" customFormat="1" ht="15.6" x14ac:dyDescent="0.3">
      <c r="A13" s="107">
        <v>6</v>
      </c>
      <c r="B13" s="178"/>
      <c r="C13" s="172"/>
      <c r="D13" s="176"/>
      <c r="E13" s="172"/>
      <c r="F13" s="172"/>
      <c r="G13" s="174"/>
      <c r="H13" s="107">
        <f t="shared" si="0"/>
        <v>0</v>
      </c>
      <c r="I13" s="172"/>
    </row>
    <row r="14" spans="1:26" s="132" customFormat="1" ht="15.6" x14ac:dyDescent="0.3">
      <c r="A14" s="107">
        <v>7</v>
      </c>
      <c r="B14" s="178"/>
      <c r="C14" s="172"/>
      <c r="D14" s="176"/>
      <c r="E14" s="172"/>
      <c r="F14" s="172"/>
      <c r="G14" s="174"/>
      <c r="H14" s="107">
        <f t="shared" si="0"/>
        <v>0</v>
      </c>
      <c r="I14" s="172"/>
    </row>
    <row r="15" spans="1:26" s="132" customFormat="1" ht="15.6" x14ac:dyDescent="0.3">
      <c r="A15" s="107">
        <v>8</v>
      </c>
      <c r="B15" s="178"/>
      <c r="C15" s="172"/>
      <c r="D15" s="176"/>
      <c r="E15" s="172"/>
      <c r="F15" s="172"/>
      <c r="G15" s="174"/>
      <c r="H15" s="107">
        <f t="shared" si="0"/>
        <v>0</v>
      </c>
      <c r="I15" s="172"/>
    </row>
    <row r="16" spans="1:26" s="132" customFormat="1" ht="15.6" x14ac:dyDescent="0.3">
      <c r="A16" s="107">
        <v>9</v>
      </c>
      <c r="B16" s="178"/>
      <c r="C16" s="172"/>
      <c r="D16" s="176"/>
      <c r="E16" s="172"/>
      <c r="F16" s="172"/>
      <c r="G16" s="174"/>
      <c r="H16" s="107">
        <f t="shared" si="0"/>
        <v>0</v>
      </c>
      <c r="I16" s="172"/>
    </row>
    <row r="17" spans="1:9" s="132" customFormat="1" ht="15.6" x14ac:dyDescent="0.3">
      <c r="A17" s="107">
        <v>10</v>
      </c>
      <c r="B17" s="178"/>
      <c r="C17" s="172"/>
      <c r="D17" s="176"/>
      <c r="E17" s="172"/>
      <c r="F17" s="172"/>
      <c r="G17" s="174"/>
      <c r="H17" s="107">
        <f t="shared" si="0"/>
        <v>0</v>
      </c>
      <c r="I17" s="172"/>
    </row>
    <row r="18" spans="1:9" s="132" customFormat="1" ht="15.6" x14ac:dyDescent="0.3">
      <c r="A18" s="107">
        <v>11</v>
      </c>
      <c r="B18" s="178"/>
      <c r="C18" s="172"/>
      <c r="D18" s="176"/>
      <c r="E18" s="172"/>
      <c r="F18" s="172"/>
      <c r="G18" s="174"/>
      <c r="H18" s="107">
        <f t="shared" si="0"/>
        <v>0</v>
      </c>
      <c r="I18" s="172"/>
    </row>
    <row r="19" spans="1:9" s="132" customFormat="1" ht="15.6" x14ac:dyDescent="0.3">
      <c r="A19" s="107">
        <v>12</v>
      </c>
      <c r="B19" s="178"/>
      <c r="C19" s="172"/>
      <c r="D19" s="176"/>
      <c r="E19" s="172"/>
      <c r="F19" s="172"/>
      <c r="G19" s="174"/>
      <c r="H19" s="107">
        <f t="shared" si="0"/>
        <v>0</v>
      </c>
      <c r="I19" s="172"/>
    </row>
    <row r="20" spans="1:9" s="132" customFormat="1" ht="15.6" x14ac:dyDescent="0.3">
      <c r="A20" s="107">
        <v>13</v>
      </c>
      <c r="B20" s="178"/>
      <c r="C20" s="172"/>
      <c r="D20" s="176"/>
      <c r="E20" s="172"/>
      <c r="F20" s="172"/>
      <c r="G20" s="174"/>
      <c r="H20" s="107">
        <f t="shared" si="0"/>
        <v>0</v>
      </c>
      <c r="I20" s="172"/>
    </row>
    <row r="21" spans="1:9" s="132" customFormat="1" ht="15.6" x14ac:dyDescent="0.3">
      <c r="A21" s="107">
        <v>14</v>
      </c>
      <c r="B21" s="178"/>
      <c r="C21" s="172"/>
      <c r="D21" s="176"/>
      <c r="E21" s="172"/>
      <c r="F21" s="172"/>
      <c r="G21" s="174"/>
      <c r="H21" s="107">
        <f t="shared" si="0"/>
        <v>0</v>
      </c>
      <c r="I21" s="172"/>
    </row>
    <row r="22" spans="1:9" s="132" customFormat="1" ht="15.6" x14ac:dyDescent="0.3">
      <c r="A22" s="107">
        <v>15</v>
      </c>
      <c r="B22" s="178"/>
      <c r="C22" s="172"/>
      <c r="D22" s="176"/>
      <c r="E22" s="172"/>
      <c r="F22" s="172"/>
      <c r="G22" s="174"/>
      <c r="H22" s="107">
        <f t="shared" si="0"/>
        <v>0</v>
      </c>
      <c r="I22" s="172"/>
    </row>
    <row r="23" spans="1:9" s="132" customFormat="1" ht="15.6" x14ac:dyDescent="0.3">
      <c r="A23" s="107">
        <v>16</v>
      </c>
      <c r="B23" s="178"/>
      <c r="C23" s="172"/>
      <c r="D23" s="176"/>
      <c r="E23" s="172"/>
      <c r="F23" s="172"/>
      <c r="G23" s="174"/>
      <c r="H23" s="107">
        <f t="shared" si="0"/>
        <v>0</v>
      </c>
      <c r="I23" s="172"/>
    </row>
    <row r="24" spans="1:9" s="132" customFormat="1" ht="15.6" x14ac:dyDescent="0.3">
      <c r="A24" s="107">
        <v>17</v>
      </c>
      <c r="B24" s="178"/>
      <c r="C24" s="172"/>
      <c r="D24" s="176"/>
      <c r="E24" s="172"/>
      <c r="F24" s="172"/>
      <c r="G24" s="174"/>
      <c r="H24" s="107">
        <f t="shared" si="0"/>
        <v>0</v>
      </c>
      <c r="I24" s="172"/>
    </row>
    <row r="25" spans="1:9" s="132" customFormat="1" ht="15.6" x14ac:dyDescent="0.3">
      <c r="A25" s="107">
        <v>18</v>
      </c>
      <c r="B25" s="178"/>
      <c r="C25" s="172"/>
      <c r="D25" s="176"/>
      <c r="E25" s="172"/>
      <c r="F25" s="172"/>
      <c r="G25" s="174"/>
      <c r="H25" s="107">
        <f t="shared" si="0"/>
        <v>0</v>
      </c>
      <c r="I25" s="172"/>
    </row>
    <row r="26" spans="1:9" s="132" customFormat="1" ht="15.6" x14ac:dyDescent="0.3">
      <c r="A26" s="107">
        <v>19</v>
      </c>
      <c r="B26" s="178"/>
      <c r="C26" s="172"/>
      <c r="D26" s="176"/>
      <c r="E26" s="172"/>
      <c r="F26" s="172"/>
      <c r="G26" s="174"/>
      <c r="H26" s="107">
        <f t="shared" si="0"/>
        <v>0</v>
      </c>
      <c r="I26" s="172"/>
    </row>
    <row r="27" spans="1:9" s="132" customFormat="1" ht="15.6" x14ac:dyDescent="0.3">
      <c r="A27" s="107">
        <v>20</v>
      </c>
      <c r="B27" s="178"/>
      <c r="C27" s="172"/>
      <c r="D27" s="176"/>
      <c r="E27" s="172"/>
      <c r="F27" s="172"/>
      <c r="G27" s="174"/>
      <c r="H27" s="107">
        <f t="shared" si="0"/>
        <v>0</v>
      </c>
      <c r="I27" s="172"/>
    </row>
    <row r="28" spans="1:9" s="132" customFormat="1" ht="15.6" x14ac:dyDescent="0.3">
      <c r="A28" s="107">
        <v>21</v>
      </c>
      <c r="B28" s="178"/>
      <c r="C28" s="172"/>
      <c r="D28" s="176"/>
      <c r="E28" s="172"/>
      <c r="F28" s="172"/>
      <c r="G28" s="174"/>
      <c r="H28" s="107">
        <f t="shared" si="0"/>
        <v>0</v>
      </c>
      <c r="I28" s="172"/>
    </row>
    <row r="29" spans="1:9" s="132" customFormat="1" ht="15.6" x14ac:dyDescent="0.3">
      <c r="A29" s="107">
        <v>22</v>
      </c>
      <c r="B29" s="178"/>
      <c r="C29" s="172"/>
      <c r="D29" s="176"/>
      <c r="E29" s="172"/>
      <c r="F29" s="172"/>
      <c r="G29" s="174"/>
      <c r="H29" s="107">
        <f t="shared" si="0"/>
        <v>0</v>
      </c>
      <c r="I29" s="172"/>
    </row>
    <row r="30" spans="1:9" s="132" customFormat="1" ht="15.6" x14ac:dyDescent="0.3">
      <c r="A30" s="107">
        <v>23</v>
      </c>
      <c r="B30" s="178"/>
      <c r="C30" s="172"/>
      <c r="D30" s="176"/>
      <c r="E30" s="172"/>
      <c r="F30" s="172"/>
      <c r="G30" s="174"/>
      <c r="H30" s="107">
        <f t="shared" si="0"/>
        <v>0</v>
      </c>
      <c r="I30" s="172"/>
    </row>
    <row r="31" spans="1:9" s="132" customFormat="1" ht="15.6" x14ac:dyDescent="0.3">
      <c r="A31" s="107">
        <v>24</v>
      </c>
      <c r="B31" s="178"/>
      <c r="C31" s="172"/>
      <c r="D31" s="176"/>
      <c r="E31" s="172"/>
      <c r="F31" s="172"/>
      <c r="G31" s="174"/>
      <c r="H31" s="107">
        <f t="shared" si="0"/>
        <v>0</v>
      </c>
      <c r="I31" s="172"/>
    </row>
    <row r="32" spans="1:9" s="132" customFormat="1" ht="15.6" x14ac:dyDescent="0.3">
      <c r="A32" s="107">
        <v>25</v>
      </c>
      <c r="B32" s="178"/>
      <c r="C32" s="172"/>
      <c r="D32" s="176"/>
      <c r="E32" s="172"/>
      <c r="F32" s="172"/>
      <c r="G32" s="174"/>
      <c r="H32" s="107">
        <f t="shared" si="0"/>
        <v>0</v>
      </c>
      <c r="I32" s="172"/>
    </row>
    <row r="33" spans="1:15" s="132" customFormat="1" ht="15.6" x14ac:dyDescent="0.3">
      <c r="A33" s="107">
        <v>26</v>
      </c>
      <c r="B33" s="178"/>
      <c r="C33" s="172"/>
      <c r="D33" s="176"/>
      <c r="E33" s="172"/>
      <c r="F33" s="172"/>
      <c r="G33" s="174"/>
      <c r="H33" s="107">
        <f t="shared" si="0"/>
        <v>0</v>
      </c>
      <c r="I33" s="172"/>
    </row>
    <row r="34" spans="1:15" s="132" customFormat="1" ht="15.6" x14ac:dyDescent="0.3">
      <c r="A34" s="107">
        <v>27</v>
      </c>
      <c r="B34" s="178"/>
      <c r="C34" s="172"/>
      <c r="D34" s="176"/>
      <c r="E34" s="172"/>
      <c r="F34" s="172"/>
      <c r="G34" s="174"/>
      <c r="H34" s="107">
        <f t="shared" si="0"/>
        <v>0</v>
      </c>
      <c r="I34" s="172"/>
    </row>
    <row r="35" spans="1:15" s="132" customFormat="1" ht="15.6" x14ac:dyDescent="0.3">
      <c r="A35" s="107">
        <v>28</v>
      </c>
      <c r="B35" s="178"/>
      <c r="C35" s="172"/>
      <c r="D35" s="176"/>
      <c r="E35" s="172"/>
      <c r="F35" s="172"/>
      <c r="G35" s="174"/>
      <c r="H35" s="107">
        <f t="shared" si="0"/>
        <v>0</v>
      </c>
      <c r="I35" s="172"/>
    </row>
    <row r="36" spans="1:15" s="132" customFormat="1" ht="15.6" x14ac:dyDescent="0.3">
      <c r="A36" s="107">
        <v>29</v>
      </c>
      <c r="B36" s="178"/>
      <c r="C36" s="172"/>
      <c r="D36" s="176"/>
      <c r="E36" s="172"/>
      <c r="F36" s="172"/>
      <c r="G36" s="174"/>
      <c r="H36" s="107">
        <f t="shared" si="0"/>
        <v>0</v>
      </c>
      <c r="I36" s="172"/>
    </row>
    <row r="37" spans="1:15" s="132" customFormat="1" ht="15.6" x14ac:dyDescent="0.3">
      <c r="A37" s="107">
        <v>30</v>
      </c>
      <c r="B37" s="178"/>
      <c r="C37" s="172"/>
      <c r="D37" s="176"/>
      <c r="E37" s="172"/>
      <c r="F37" s="172"/>
      <c r="G37" s="174"/>
      <c r="H37" s="107">
        <f t="shared" si="0"/>
        <v>0</v>
      </c>
      <c r="I37" s="172"/>
    </row>
    <row r="38" spans="1:15" s="132" customFormat="1" ht="15.6" x14ac:dyDescent="0.3">
      <c r="A38" s="107">
        <v>31</v>
      </c>
      <c r="B38" s="178"/>
      <c r="C38" s="172"/>
      <c r="D38" s="176"/>
      <c r="E38" s="172"/>
      <c r="F38" s="172"/>
      <c r="G38" s="174"/>
      <c r="H38" s="107">
        <f t="shared" si="0"/>
        <v>0</v>
      </c>
      <c r="I38" s="172"/>
    </row>
    <row r="39" spans="1:15" s="132" customFormat="1" ht="15.6" x14ac:dyDescent="0.3">
      <c r="A39" s="107">
        <v>32</v>
      </c>
      <c r="B39" s="178"/>
      <c r="C39" s="172"/>
      <c r="D39" s="176"/>
      <c r="E39" s="172"/>
      <c r="F39" s="172"/>
      <c r="G39" s="174"/>
      <c r="H39" s="107">
        <f t="shared" si="0"/>
        <v>0</v>
      </c>
      <c r="I39" s="172"/>
    </row>
    <row r="40" spans="1:15" s="132" customFormat="1" ht="15.6" x14ac:dyDescent="0.3">
      <c r="A40" s="107">
        <v>33</v>
      </c>
      <c r="B40" s="178"/>
      <c r="C40" s="172"/>
      <c r="D40" s="176"/>
      <c r="E40" s="172"/>
      <c r="F40" s="172"/>
      <c r="G40" s="174"/>
      <c r="H40" s="107">
        <f t="shared" si="0"/>
        <v>0</v>
      </c>
      <c r="I40" s="172"/>
    </row>
    <row r="41" spans="1:15" s="132" customFormat="1" ht="15.6" x14ac:dyDescent="0.3">
      <c r="A41" s="107">
        <v>34</v>
      </c>
      <c r="B41" s="178"/>
      <c r="C41" s="172"/>
      <c r="D41" s="176"/>
      <c r="E41" s="172"/>
      <c r="F41" s="172"/>
      <c r="G41" s="174"/>
      <c r="H41" s="107">
        <f t="shared" si="0"/>
        <v>0</v>
      </c>
      <c r="I41" s="172"/>
    </row>
    <row r="42" spans="1:15" s="132" customFormat="1" ht="15.6" x14ac:dyDescent="0.3">
      <c r="A42" s="107">
        <v>35</v>
      </c>
      <c r="B42" s="178"/>
      <c r="C42" s="172"/>
      <c r="D42" s="176"/>
      <c r="E42" s="172"/>
      <c r="F42" s="172"/>
      <c r="G42" s="174"/>
      <c r="H42" s="107">
        <f t="shared" si="0"/>
        <v>0</v>
      </c>
      <c r="I42" s="172"/>
    </row>
    <row r="43" spans="1:15" s="132" customFormat="1" ht="15.6" x14ac:dyDescent="0.3">
      <c r="A43" s="107">
        <v>36</v>
      </c>
      <c r="B43" s="178"/>
      <c r="C43" s="172"/>
      <c r="D43" s="176"/>
      <c r="E43" s="172"/>
      <c r="F43" s="172"/>
      <c r="G43" s="174"/>
      <c r="H43" s="107">
        <f t="shared" si="0"/>
        <v>0</v>
      </c>
      <c r="I43" s="172"/>
    </row>
    <row r="44" spans="1:15" s="132" customFormat="1" ht="15.6" x14ac:dyDescent="0.3">
      <c r="A44" s="107">
        <v>37</v>
      </c>
      <c r="B44" s="178"/>
      <c r="C44" s="172"/>
      <c r="D44" s="176"/>
      <c r="E44" s="172"/>
      <c r="F44" s="172"/>
      <c r="G44" s="174"/>
      <c r="H44" s="107">
        <f t="shared" si="0"/>
        <v>0</v>
      </c>
      <c r="I44" s="172"/>
    </row>
    <row r="45" spans="1:15" s="132" customFormat="1" ht="15.6" x14ac:dyDescent="0.3">
      <c r="A45" s="107">
        <v>38</v>
      </c>
      <c r="B45" s="178"/>
      <c r="C45" s="172"/>
      <c r="D45" s="176"/>
      <c r="E45" s="172"/>
      <c r="F45" s="172"/>
      <c r="G45" s="174"/>
      <c r="H45" s="107">
        <f t="shared" si="0"/>
        <v>0</v>
      </c>
      <c r="I45" s="172"/>
    </row>
    <row r="46" spans="1:15" s="132" customFormat="1" ht="15.6" x14ac:dyDescent="0.3">
      <c r="A46" s="107">
        <v>39</v>
      </c>
      <c r="B46" s="178"/>
      <c r="C46" s="172"/>
      <c r="D46" s="176"/>
      <c r="E46" s="172"/>
      <c r="F46" s="172"/>
      <c r="G46" s="174"/>
      <c r="H46" s="107">
        <f t="shared" si="0"/>
        <v>0</v>
      </c>
      <c r="I46" s="172"/>
    </row>
    <row r="47" spans="1:15" s="132" customFormat="1" ht="15.6" x14ac:dyDescent="0.3">
      <c r="A47" s="107">
        <v>40</v>
      </c>
      <c r="B47" s="178"/>
      <c r="C47" s="172"/>
      <c r="D47" s="176"/>
      <c r="E47" s="172"/>
      <c r="F47" s="172"/>
      <c r="G47" s="174"/>
      <c r="H47" s="107">
        <f t="shared" si="0"/>
        <v>0</v>
      </c>
      <c r="I47" s="172"/>
    </row>
    <row r="48" spans="1:15" s="132" customFormat="1" ht="38.4" customHeight="1" x14ac:dyDescent="0.3">
      <c r="A48" s="106" t="s">
        <v>345</v>
      </c>
      <c r="B48" s="158" t="s">
        <v>352</v>
      </c>
      <c r="C48" s="142"/>
      <c r="D48" s="142"/>
      <c r="E48" s="142"/>
      <c r="F48" s="142"/>
      <c r="G48" s="142"/>
      <c r="H48" s="142"/>
      <c r="I48" s="142"/>
      <c r="J48" s="146"/>
      <c r="K48" s="146"/>
      <c r="L48" s="146"/>
      <c r="M48" s="146"/>
      <c r="N48" s="146"/>
      <c r="O48" s="149"/>
    </row>
    <row r="49" spans="1:15" s="132" customFormat="1" ht="15.6" x14ac:dyDescent="0.3">
      <c r="A49" s="107">
        <v>1</v>
      </c>
      <c r="B49" s="175"/>
      <c r="C49" s="175"/>
      <c r="D49" s="179"/>
      <c r="E49" s="179"/>
      <c r="F49" s="179"/>
      <c r="G49" s="180"/>
      <c r="H49" s="107">
        <f>G49*F49</f>
        <v>0</v>
      </c>
      <c r="I49" s="172"/>
      <c r="J49" s="149"/>
      <c r="K49" s="149"/>
      <c r="L49" s="149"/>
      <c r="M49" s="149"/>
      <c r="N49" s="149"/>
      <c r="O49" s="149"/>
    </row>
    <row r="50" spans="1:15" s="132" customFormat="1" ht="15.6" x14ac:dyDescent="0.3">
      <c r="A50" s="107">
        <v>2</v>
      </c>
      <c r="B50" s="175"/>
      <c r="C50" s="175"/>
      <c r="D50" s="179"/>
      <c r="E50" s="179"/>
      <c r="F50" s="179"/>
      <c r="G50" s="180"/>
      <c r="H50" s="107">
        <f t="shared" ref="H50:H53" si="1">G50*F50</f>
        <v>0</v>
      </c>
      <c r="I50" s="172"/>
      <c r="J50" s="149"/>
      <c r="K50" s="149"/>
      <c r="L50" s="149"/>
      <c r="M50" s="149"/>
      <c r="N50" s="149"/>
      <c r="O50" s="149"/>
    </row>
    <row r="51" spans="1:15" s="132" customFormat="1" ht="15.6" x14ac:dyDescent="0.3">
      <c r="A51" s="107">
        <v>3</v>
      </c>
      <c r="B51" s="175"/>
      <c r="C51" s="175"/>
      <c r="D51" s="179"/>
      <c r="E51" s="179"/>
      <c r="F51" s="179"/>
      <c r="G51" s="180"/>
      <c r="H51" s="107">
        <f t="shared" si="1"/>
        <v>0</v>
      </c>
      <c r="I51" s="172"/>
      <c r="J51" s="149"/>
      <c r="K51" s="149"/>
      <c r="L51" s="149"/>
      <c r="M51" s="149"/>
      <c r="N51" s="149"/>
      <c r="O51" s="149"/>
    </row>
    <row r="52" spans="1:15" s="132" customFormat="1" ht="15.6" x14ac:dyDescent="0.3">
      <c r="A52" s="107">
        <v>4</v>
      </c>
      <c r="B52" s="175"/>
      <c r="C52" s="175"/>
      <c r="D52" s="179"/>
      <c r="E52" s="179"/>
      <c r="F52" s="179"/>
      <c r="G52" s="180"/>
      <c r="H52" s="107">
        <f t="shared" si="1"/>
        <v>0</v>
      </c>
      <c r="I52" s="172"/>
      <c r="J52" s="149"/>
      <c r="K52" s="149"/>
      <c r="L52" s="149"/>
      <c r="M52" s="149"/>
      <c r="N52" s="149"/>
      <c r="O52" s="149"/>
    </row>
    <row r="53" spans="1:15" s="129" customFormat="1" ht="15.6" x14ac:dyDescent="0.3">
      <c r="A53" s="107">
        <v>5</v>
      </c>
      <c r="B53" s="175"/>
      <c r="C53" s="175"/>
      <c r="D53" s="179"/>
      <c r="E53" s="179"/>
      <c r="F53" s="179"/>
      <c r="G53" s="180"/>
      <c r="H53" s="107">
        <f t="shared" si="1"/>
        <v>0</v>
      </c>
      <c r="I53" s="172"/>
    </row>
    <row r="54" spans="1:15" s="129" customFormat="1" ht="28.95" customHeight="1" x14ac:dyDescent="0.3">
      <c r="A54" s="151" t="s">
        <v>14</v>
      </c>
      <c r="B54" s="152" t="s">
        <v>353</v>
      </c>
      <c r="C54" s="150"/>
      <c r="D54" s="150"/>
      <c r="E54" s="150"/>
      <c r="F54" s="150"/>
      <c r="G54" s="150"/>
      <c r="H54" s="150"/>
      <c r="I54" s="150"/>
    </row>
    <row r="55" spans="1:15" s="132" customFormat="1" ht="15.6" x14ac:dyDescent="0.3">
      <c r="A55" s="107">
        <v>1</v>
      </c>
      <c r="B55" s="175"/>
      <c r="C55" s="175"/>
      <c r="D55" s="179"/>
      <c r="E55" s="179"/>
      <c r="F55" s="179"/>
      <c r="G55" s="180"/>
      <c r="H55" s="107">
        <f>G55*F55</f>
        <v>0</v>
      </c>
      <c r="I55" s="172"/>
    </row>
    <row r="56" spans="1:15" s="132" customFormat="1" ht="15.6" x14ac:dyDescent="0.3">
      <c r="A56" s="107">
        <v>2</v>
      </c>
      <c r="B56" s="175"/>
      <c r="C56" s="175"/>
      <c r="D56" s="179"/>
      <c r="E56" s="179"/>
      <c r="F56" s="179"/>
      <c r="G56" s="180"/>
      <c r="H56" s="107">
        <f t="shared" ref="H56:H59" si="2">G56*F56</f>
        <v>0</v>
      </c>
      <c r="I56" s="172"/>
    </row>
    <row r="57" spans="1:15" s="132" customFormat="1" ht="15.6" x14ac:dyDescent="0.3">
      <c r="A57" s="107">
        <v>3</v>
      </c>
      <c r="B57" s="175"/>
      <c r="C57" s="175"/>
      <c r="D57" s="179"/>
      <c r="E57" s="179"/>
      <c r="F57" s="179"/>
      <c r="G57" s="180"/>
      <c r="H57" s="107">
        <f t="shared" si="2"/>
        <v>0</v>
      </c>
      <c r="I57" s="172"/>
    </row>
    <row r="58" spans="1:15" s="132" customFormat="1" ht="15.6" x14ac:dyDescent="0.3">
      <c r="A58" s="107">
        <v>4</v>
      </c>
      <c r="B58" s="175"/>
      <c r="C58" s="175"/>
      <c r="D58" s="179"/>
      <c r="E58" s="179"/>
      <c r="F58" s="179"/>
      <c r="G58" s="180"/>
      <c r="H58" s="107">
        <f t="shared" si="2"/>
        <v>0</v>
      </c>
      <c r="I58" s="172"/>
    </row>
    <row r="59" spans="1:15" s="132" customFormat="1" ht="15.6" x14ac:dyDescent="0.3">
      <c r="A59" s="107">
        <v>5</v>
      </c>
      <c r="B59" s="175"/>
      <c r="C59" s="175"/>
      <c r="D59" s="179"/>
      <c r="E59" s="179"/>
      <c r="F59" s="179"/>
      <c r="G59" s="180"/>
      <c r="H59" s="107">
        <f t="shared" si="2"/>
        <v>0</v>
      </c>
      <c r="I59" s="172"/>
    </row>
    <row r="60" spans="1:15" s="132" customFormat="1" ht="66" customHeight="1" x14ac:dyDescent="0.3">
      <c r="A60" s="151" t="s">
        <v>16</v>
      </c>
      <c r="B60" s="152" t="s">
        <v>354</v>
      </c>
      <c r="C60" s="153"/>
      <c r="D60" s="153"/>
      <c r="E60" s="153"/>
      <c r="F60" s="153"/>
      <c r="G60" s="153"/>
      <c r="H60" s="153"/>
      <c r="I60" s="153"/>
    </row>
    <row r="61" spans="1:15" s="132" customFormat="1" ht="15.6" x14ac:dyDescent="0.3">
      <c r="A61" s="107">
        <v>1</v>
      </c>
      <c r="B61" s="175"/>
      <c r="C61" s="175"/>
      <c r="D61" s="179"/>
      <c r="E61" s="179"/>
      <c r="F61" s="179"/>
      <c r="G61" s="180"/>
      <c r="H61" s="107">
        <f>G61*F61</f>
        <v>0</v>
      </c>
      <c r="I61" s="172"/>
    </row>
    <row r="62" spans="1:15" s="132" customFormat="1" ht="15.6" x14ac:dyDescent="0.3">
      <c r="A62" s="107">
        <v>2</v>
      </c>
      <c r="B62" s="175"/>
      <c r="C62" s="175"/>
      <c r="D62" s="179"/>
      <c r="E62" s="179"/>
      <c r="F62" s="179"/>
      <c r="G62" s="180"/>
      <c r="H62" s="107">
        <f t="shared" ref="H62:H65" si="3">G62*F62</f>
        <v>0</v>
      </c>
      <c r="I62" s="172"/>
    </row>
    <row r="63" spans="1:15" s="132" customFormat="1" ht="15.6" x14ac:dyDescent="0.3">
      <c r="A63" s="107">
        <v>3</v>
      </c>
      <c r="B63" s="175"/>
      <c r="C63" s="175"/>
      <c r="D63" s="179"/>
      <c r="E63" s="179"/>
      <c r="F63" s="179"/>
      <c r="G63" s="180"/>
      <c r="H63" s="107">
        <f t="shared" si="3"/>
        <v>0</v>
      </c>
      <c r="I63" s="172"/>
    </row>
    <row r="64" spans="1:15" s="132" customFormat="1" ht="15.6" x14ac:dyDescent="0.3">
      <c r="A64" s="107">
        <v>4</v>
      </c>
      <c r="B64" s="175"/>
      <c r="C64" s="175"/>
      <c r="D64" s="179"/>
      <c r="E64" s="179"/>
      <c r="F64" s="179"/>
      <c r="G64" s="180"/>
      <c r="H64" s="107">
        <f t="shared" si="3"/>
        <v>0</v>
      </c>
      <c r="I64" s="172"/>
    </row>
    <row r="65" spans="1:11" s="132" customFormat="1" ht="15.6" x14ac:dyDescent="0.3">
      <c r="A65" s="107">
        <v>5</v>
      </c>
      <c r="B65" s="175"/>
      <c r="C65" s="175"/>
      <c r="D65" s="179"/>
      <c r="E65" s="179"/>
      <c r="F65" s="179"/>
      <c r="G65" s="180"/>
      <c r="H65" s="107">
        <f t="shared" si="3"/>
        <v>0</v>
      </c>
      <c r="I65" s="172"/>
    </row>
    <row r="66" spans="1:11" s="132" customFormat="1" ht="31.2" x14ac:dyDescent="0.3">
      <c r="A66" s="151" t="s">
        <v>18</v>
      </c>
      <c r="B66" s="153" t="s">
        <v>355</v>
      </c>
      <c r="C66" s="151"/>
      <c r="D66" s="157"/>
      <c r="E66" s="151"/>
      <c r="F66" s="151"/>
      <c r="G66" s="156"/>
      <c r="H66" s="151"/>
      <c r="I66" s="151"/>
    </row>
    <row r="67" spans="1:11" s="132" customFormat="1" ht="15.6" x14ac:dyDescent="0.3">
      <c r="A67" s="107">
        <v>1</v>
      </c>
      <c r="B67" s="181"/>
      <c r="C67" s="172"/>
      <c r="D67" s="182"/>
      <c r="E67" s="172"/>
      <c r="F67" s="172"/>
      <c r="G67" s="174"/>
      <c r="H67" s="107">
        <f>G67*F67</f>
        <v>0</v>
      </c>
      <c r="I67" s="172"/>
    </row>
    <row r="68" spans="1:11" s="132" customFormat="1" ht="15.6" x14ac:dyDescent="0.3">
      <c r="A68" s="107">
        <v>2</v>
      </c>
      <c r="B68" s="181"/>
      <c r="C68" s="172"/>
      <c r="D68" s="182"/>
      <c r="E68" s="172"/>
      <c r="F68" s="172"/>
      <c r="G68" s="174"/>
      <c r="H68" s="107">
        <f t="shared" ref="H68:H71" si="4">G68*F68</f>
        <v>0</v>
      </c>
      <c r="I68" s="172"/>
    </row>
    <row r="69" spans="1:11" s="132" customFormat="1" ht="15.6" x14ac:dyDescent="0.3">
      <c r="A69" s="107">
        <v>3</v>
      </c>
      <c r="B69" s="181"/>
      <c r="C69" s="172"/>
      <c r="D69" s="182"/>
      <c r="E69" s="172"/>
      <c r="F69" s="172"/>
      <c r="G69" s="174"/>
      <c r="H69" s="107">
        <f t="shared" si="4"/>
        <v>0</v>
      </c>
      <c r="I69" s="172"/>
    </row>
    <row r="70" spans="1:11" s="132" customFormat="1" ht="15.6" x14ac:dyDescent="0.3">
      <c r="A70" s="107">
        <v>4</v>
      </c>
      <c r="B70" s="181"/>
      <c r="C70" s="172"/>
      <c r="D70" s="182"/>
      <c r="E70" s="172"/>
      <c r="F70" s="172"/>
      <c r="G70" s="174"/>
      <c r="H70" s="107">
        <f t="shared" si="4"/>
        <v>0</v>
      </c>
      <c r="I70" s="172"/>
    </row>
    <row r="71" spans="1:11" s="132" customFormat="1" ht="15.6" x14ac:dyDescent="0.3">
      <c r="A71" s="107">
        <v>5</v>
      </c>
      <c r="B71" s="181"/>
      <c r="C71" s="172"/>
      <c r="D71" s="183"/>
      <c r="E71" s="172"/>
      <c r="F71" s="172"/>
      <c r="G71" s="174"/>
      <c r="H71" s="107">
        <f t="shared" si="4"/>
        <v>0</v>
      </c>
      <c r="I71" s="172"/>
    </row>
    <row r="72" spans="1:11" s="132" customFormat="1" ht="64.95" customHeight="1" x14ac:dyDescent="0.3">
      <c r="A72" s="151" t="s">
        <v>20</v>
      </c>
      <c r="B72" s="154" t="s">
        <v>356</v>
      </c>
      <c r="C72" s="151"/>
      <c r="D72" s="155"/>
      <c r="E72" s="151"/>
      <c r="F72" s="151"/>
      <c r="G72" s="156"/>
      <c r="H72" s="151"/>
      <c r="I72" s="151"/>
    </row>
    <row r="73" spans="1:11" s="132" customFormat="1" ht="15.6" x14ac:dyDescent="0.3">
      <c r="A73" s="107">
        <v>1</v>
      </c>
      <c r="B73" s="181"/>
      <c r="C73" s="172"/>
      <c r="D73" s="172"/>
      <c r="E73" s="172"/>
      <c r="F73" s="172"/>
      <c r="G73" s="174"/>
      <c r="H73" s="107">
        <f>G73*F73</f>
        <v>0</v>
      </c>
      <c r="I73" s="172"/>
    </row>
    <row r="74" spans="1:11" s="132" customFormat="1" ht="15.6" x14ac:dyDescent="0.3">
      <c r="A74" s="107">
        <v>2</v>
      </c>
      <c r="B74" s="181"/>
      <c r="C74" s="172"/>
      <c r="D74" s="172"/>
      <c r="E74" s="172"/>
      <c r="F74" s="172"/>
      <c r="G74" s="174"/>
      <c r="H74" s="107">
        <f t="shared" ref="H74:H77" si="5">G74*F74</f>
        <v>0</v>
      </c>
      <c r="I74" s="172"/>
    </row>
    <row r="75" spans="1:11" s="132" customFormat="1" ht="15.6" x14ac:dyDescent="0.3">
      <c r="A75" s="107">
        <v>3</v>
      </c>
      <c r="B75" s="181"/>
      <c r="C75" s="172"/>
      <c r="D75" s="172"/>
      <c r="E75" s="172"/>
      <c r="F75" s="172"/>
      <c r="G75" s="174"/>
      <c r="H75" s="107">
        <f t="shared" si="5"/>
        <v>0</v>
      </c>
      <c r="I75" s="172"/>
    </row>
    <row r="76" spans="1:11" s="132" customFormat="1" ht="15.6" x14ac:dyDescent="0.3">
      <c r="A76" s="107">
        <v>4</v>
      </c>
      <c r="B76" s="184"/>
      <c r="C76" s="172"/>
      <c r="D76" s="172"/>
      <c r="E76" s="172"/>
      <c r="F76" s="172"/>
      <c r="G76" s="174"/>
      <c r="H76" s="107">
        <f t="shared" si="5"/>
        <v>0</v>
      </c>
      <c r="I76" s="172"/>
    </row>
    <row r="77" spans="1:11" s="132" customFormat="1" ht="15.6" x14ac:dyDescent="0.3">
      <c r="A77" s="107">
        <v>5</v>
      </c>
      <c r="B77" s="181"/>
      <c r="C77" s="172"/>
      <c r="D77" s="182"/>
      <c r="E77" s="172"/>
      <c r="F77" s="172"/>
      <c r="G77" s="174"/>
      <c r="H77" s="107">
        <f t="shared" si="5"/>
        <v>0</v>
      </c>
      <c r="I77" s="172"/>
    </row>
    <row r="78" spans="1:11" ht="25.5" customHeight="1" x14ac:dyDescent="0.3">
      <c r="A78" s="133"/>
      <c r="B78" s="134" t="s">
        <v>181</v>
      </c>
      <c r="C78" s="185"/>
      <c r="D78" s="43"/>
      <c r="E78" s="43"/>
      <c r="F78" s="112"/>
      <c r="G78" s="112"/>
      <c r="H78" s="11"/>
      <c r="I78" s="43"/>
      <c r="J78" s="11"/>
      <c r="K78" s="11"/>
    </row>
    <row r="79" spans="1:11" ht="25.5" customHeight="1" x14ac:dyDescent="0.3">
      <c r="A79" s="135"/>
      <c r="B79" s="136" t="s">
        <v>182</v>
      </c>
      <c r="C79" s="186"/>
      <c r="D79" s="43"/>
      <c r="E79" s="43"/>
      <c r="F79" s="112"/>
      <c r="G79" s="112"/>
      <c r="H79" s="137"/>
      <c r="I79" s="43"/>
      <c r="J79" s="11"/>
      <c r="K79" s="11"/>
    </row>
    <row r="80" spans="1:11" ht="15.75" hidden="1" customHeight="1" x14ac:dyDescent="0.3">
      <c r="A80" s="11"/>
      <c r="B80" s="11"/>
      <c r="C80" s="11"/>
      <c r="D80" s="43"/>
      <c r="E80" s="43"/>
      <c r="F80" s="112"/>
      <c r="G80" s="112"/>
      <c r="H80" s="11"/>
      <c r="I80" s="43"/>
      <c r="J80" s="11"/>
      <c r="K80" s="11"/>
    </row>
    <row r="81" spans="1:11" ht="51.75" hidden="1" customHeight="1" x14ac:dyDescent="0.35">
      <c r="A81" s="11"/>
      <c r="B81" s="11"/>
      <c r="C81" s="11"/>
      <c r="D81" s="43"/>
      <c r="E81" s="138" t="s">
        <v>183</v>
      </c>
      <c r="F81" s="137"/>
      <c r="G81" s="137"/>
      <c r="H81" s="139"/>
      <c r="I81" s="43"/>
      <c r="J81" s="11"/>
      <c r="K81" s="11"/>
    </row>
    <row r="82" spans="1:11" ht="15.75" hidden="1" customHeight="1" x14ac:dyDescent="0.3">
      <c r="A82" s="11"/>
      <c r="B82" s="11"/>
      <c r="C82" s="11"/>
      <c r="D82" s="43"/>
      <c r="E82" s="43"/>
      <c r="F82" s="112"/>
      <c r="G82" s="112"/>
      <c r="H82" s="140"/>
      <c r="I82" s="43"/>
      <c r="J82" s="11"/>
      <c r="K82" s="11"/>
    </row>
    <row r="83" spans="1:11" ht="15.75" customHeight="1" x14ac:dyDescent="0.3">
      <c r="A83" s="11"/>
      <c r="B83" s="11"/>
      <c r="C83" s="11"/>
      <c r="D83" s="43"/>
      <c r="E83" s="43"/>
      <c r="F83" s="191" t="s">
        <v>350</v>
      </c>
      <c r="G83" s="191"/>
      <c r="H83" s="191"/>
      <c r="I83" s="191"/>
      <c r="J83" s="11"/>
      <c r="K83" s="11"/>
    </row>
    <row r="84" spans="1:11" ht="15.75" customHeight="1" x14ac:dyDescent="0.3">
      <c r="A84" s="11"/>
      <c r="B84" s="11"/>
      <c r="C84" s="11"/>
      <c r="D84" s="43"/>
      <c r="E84" s="43"/>
      <c r="F84" s="141"/>
      <c r="G84" s="141"/>
      <c r="H84" s="108"/>
      <c r="I84" s="104"/>
      <c r="J84" s="11"/>
      <c r="K84" s="11"/>
    </row>
    <row r="85" spans="1:11" ht="15.75" customHeight="1" x14ac:dyDescent="0.3">
      <c r="A85" s="11"/>
      <c r="B85" s="11"/>
      <c r="C85" s="11"/>
      <c r="D85" s="43"/>
      <c r="E85" s="43"/>
      <c r="F85" s="141"/>
      <c r="G85" s="141"/>
      <c r="H85" s="108"/>
      <c r="I85" s="104"/>
      <c r="J85" s="11"/>
      <c r="K85" s="11"/>
    </row>
    <row r="86" spans="1:11" ht="15.75" customHeight="1" x14ac:dyDescent="0.3">
      <c r="A86" s="11"/>
      <c r="B86" s="11"/>
      <c r="C86" s="11"/>
      <c r="D86" s="43"/>
      <c r="E86" s="43"/>
      <c r="F86" s="141"/>
      <c r="G86" s="141"/>
      <c r="H86" s="108"/>
      <c r="I86" s="104"/>
      <c r="J86" s="11"/>
      <c r="K86" s="11"/>
    </row>
    <row r="87" spans="1:11" ht="15.75" customHeight="1" x14ac:dyDescent="0.3">
      <c r="A87" s="11"/>
      <c r="B87" s="11"/>
      <c r="C87" s="11"/>
      <c r="D87" s="43"/>
      <c r="E87" s="43"/>
      <c r="F87" s="141"/>
      <c r="G87" s="141"/>
      <c r="H87" s="108"/>
      <c r="I87" s="104"/>
      <c r="J87" s="11"/>
      <c r="K87" s="11"/>
    </row>
    <row r="88" spans="1:11" ht="15.75" customHeight="1" x14ac:dyDescent="0.3">
      <c r="A88" s="11"/>
      <c r="B88" s="11"/>
      <c r="C88" s="11"/>
      <c r="D88" s="43"/>
      <c r="E88" s="43"/>
      <c r="F88" s="190" t="s">
        <v>370</v>
      </c>
      <c r="G88" s="191"/>
      <c r="H88" s="191"/>
      <c r="I88" s="191"/>
      <c r="J88" s="11"/>
      <c r="K88" s="11"/>
    </row>
    <row r="89" spans="1:11" ht="15.75" customHeight="1" x14ac:dyDescent="0.3">
      <c r="A89" s="11"/>
      <c r="B89" s="11"/>
      <c r="C89" s="11"/>
      <c r="D89" s="43"/>
      <c r="E89" s="43"/>
      <c r="F89" s="112"/>
      <c r="G89" s="112"/>
      <c r="H89" s="11"/>
      <c r="I89" s="43"/>
      <c r="J89" s="11"/>
      <c r="K89" s="11"/>
    </row>
    <row r="90" spans="1:11" ht="15.75" customHeight="1" x14ac:dyDescent="0.3">
      <c r="A90" s="11"/>
      <c r="B90" s="11"/>
      <c r="C90" s="11"/>
      <c r="D90" s="43"/>
      <c r="E90" s="43"/>
      <c r="F90" s="112"/>
      <c r="G90" s="112"/>
      <c r="H90" s="11"/>
      <c r="I90" s="43"/>
      <c r="J90" s="11"/>
      <c r="K90" s="11"/>
    </row>
    <row r="91" spans="1:11" ht="15.75" customHeight="1" x14ac:dyDescent="0.3">
      <c r="A91" s="11"/>
      <c r="B91" s="11"/>
      <c r="C91" s="11"/>
      <c r="D91" s="43"/>
      <c r="E91" s="43"/>
      <c r="F91" s="112"/>
      <c r="G91" s="112"/>
      <c r="H91" s="11"/>
      <c r="I91" s="43"/>
      <c r="J91" s="11"/>
      <c r="K91" s="11"/>
    </row>
    <row r="92" spans="1:11" ht="15.75" customHeight="1" x14ac:dyDescent="0.3">
      <c r="A92" s="11"/>
      <c r="B92" s="11"/>
      <c r="C92" s="11"/>
      <c r="D92" s="43"/>
      <c r="E92" s="43"/>
      <c r="F92" s="112"/>
      <c r="G92" s="112"/>
      <c r="H92" s="11"/>
      <c r="I92" s="43"/>
      <c r="J92" s="11"/>
      <c r="K92" s="11"/>
    </row>
    <row r="93" spans="1:11" ht="15.75" customHeight="1" x14ac:dyDescent="0.3">
      <c r="A93" s="11"/>
      <c r="B93" s="11"/>
      <c r="C93" s="11"/>
      <c r="D93" s="43"/>
      <c r="E93" s="43"/>
      <c r="F93" s="112"/>
      <c r="G93" s="112"/>
      <c r="H93" s="11"/>
      <c r="I93" s="43"/>
      <c r="J93" s="11"/>
      <c r="K93" s="11"/>
    </row>
    <row r="94" spans="1:11" ht="15.75" customHeight="1" x14ac:dyDescent="0.3">
      <c r="A94" s="11"/>
      <c r="B94" s="11"/>
      <c r="C94" s="11"/>
      <c r="D94" s="43"/>
      <c r="E94" s="43"/>
      <c r="F94" s="112"/>
      <c r="G94" s="112"/>
      <c r="H94" s="11"/>
      <c r="I94" s="43"/>
      <c r="J94" s="11"/>
      <c r="K94" s="11"/>
    </row>
    <row r="95" spans="1:11" ht="15.75" customHeight="1" x14ac:dyDescent="0.3">
      <c r="A95" s="11"/>
      <c r="B95" s="11"/>
      <c r="C95" s="11"/>
      <c r="D95" s="43"/>
      <c r="E95" s="43"/>
      <c r="F95" s="112"/>
      <c r="G95" s="112"/>
      <c r="H95" s="11"/>
      <c r="I95" s="43"/>
      <c r="J95" s="11"/>
      <c r="K95" s="11"/>
    </row>
    <row r="96" spans="1:11" ht="15.75" customHeight="1" x14ac:dyDescent="0.3">
      <c r="A96" s="11"/>
      <c r="B96" s="11"/>
      <c r="C96" s="11"/>
      <c r="D96" s="43"/>
      <c r="E96" s="43"/>
      <c r="F96" s="112"/>
      <c r="G96" s="112"/>
      <c r="H96" s="11"/>
      <c r="I96" s="43"/>
      <c r="J96" s="11"/>
      <c r="K96" s="11"/>
    </row>
    <row r="97" spans="1:11" ht="15.75" customHeight="1" x14ac:dyDescent="0.3">
      <c r="A97" s="11"/>
      <c r="B97" s="11"/>
      <c r="C97" s="11"/>
      <c r="D97" s="43"/>
      <c r="E97" s="43"/>
      <c r="F97" s="112"/>
      <c r="G97" s="112"/>
      <c r="H97" s="11"/>
      <c r="I97" s="43"/>
      <c r="J97" s="11"/>
      <c r="K97" s="11"/>
    </row>
    <row r="98" spans="1:11" ht="15.75" customHeight="1" x14ac:dyDescent="0.3">
      <c r="A98" s="11"/>
      <c r="B98" s="11"/>
      <c r="C98" s="11"/>
      <c r="D98" s="43"/>
      <c r="E98" s="43"/>
      <c r="F98" s="112"/>
      <c r="G98" s="112"/>
      <c r="H98" s="11"/>
      <c r="I98" s="43"/>
      <c r="J98" s="11"/>
      <c r="K98" s="11"/>
    </row>
    <row r="99" spans="1:11" ht="15.75" customHeight="1" x14ac:dyDescent="0.3">
      <c r="A99" s="11"/>
      <c r="B99" s="11"/>
      <c r="C99" s="11"/>
      <c r="D99" s="43"/>
      <c r="E99" s="43"/>
      <c r="F99" s="112"/>
      <c r="G99" s="112"/>
      <c r="H99" s="11"/>
      <c r="I99" s="43"/>
      <c r="J99" s="11"/>
      <c r="K99" s="11"/>
    </row>
    <row r="100" spans="1:11" ht="15.75" customHeight="1" x14ac:dyDescent="0.3">
      <c r="A100" s="11"/>
      <c r="B100" s="11"/>
      <c r="C100" s="11"/>
      <c r="D100" s="43"/>
      <c r="E100" s="43"/>
      <c r="F100" s="112"/>
      <c r="G100" s="112"/>
      <c r="H100" s="11"/>
      <c r="I100" s="43"/>
      <c r="J100" s="11"/>
      <c r="K100" s="11"/>
    </row>
    <row r="101" spans="1:11" ht="15.75" customHeight="1" x14ac:dyDescent="0.3">
      <c r="A101" s="11"/>
      <c r="B101" s="11"/>
      <c r="C101" s="11"/>
      <c r="D101" s="43"/>
      <c r="E101" s="43"/>
      <c r="F101" s="112"/>
      <c r="G101" s="112"/>
      <c r="H101" s="11"/>
      <c r="I101" s="43"/>
      <c r="J101" s="11"/>
      <c r="K101" s="11"/>
    </row>
    <row r="102" spans="1:11" ht="15.75" customHeight="1" x14ac:dyDescent="0.3">
      <c r="A102" s="11"/>
      <c r="B102" s="11"/>
      <c r="C102" s="11"/>
      <c r="D102" s="43"/>
      <c r="E102" s="43"/>
      <c r="F102" s="112"/>
      <c r="G102" s="112"/>
      <c r="H102" s="11"/>
      <c r="I102" s="43"/>
      <c r="J102" s="11"/>
      <c r="K102" s="11"/>
    </row>
    <row r="103" spans="1:11" ht="15.75" customHeight="1" x14ac:dyDescent="0.3">
      <c r="A103" s="11"/>
      <c r="B103" s="11"/>
      <c r="C103" s="11"/>
      <c r="D103" s="43"/>
      <c r="E103" s="43"/>
      <c r="F103" s="112"/>
      <c r="G103" s="112"/>
      <c r="H103" s="11"/>
      <c r="I103" s="43"/>
      <c r="J103" s="11"/>
      <c r="K103" s="11"/>
    </row>
    <row r="104" spans="1:11" ht="15.75" customHeight="1" x14ac:dyDescent="0.3">
      <c r="A104" s="11"/>
      <c r="B104" s="11"/>
      <c r="C104" s="11"/>
      <c r="D104" s="43"/>
      <c r="E104" s="43"/>
      <c r="F104" s="112"/>
      <c r="G104" s="112"/>
      <c r="H104" s="11"/>
      <c r="I104" s="43"/>
      <c r="J104" s="11"/>
      <c r="K104" s="11"/>
    </row>
    <row r="105" spans="1:11" ht="15.75" customHeight="1" x14ac:dyDescent="0.3">
      <c r="A105" s="11"/>
      <c r="B105" s="11"/>
      <c r="C105" s="11"/>
      <c r="D105" s="43"/>
      <c r="E105" s="43"/>
      <c r="F105" s="112"/>
      <c r="G105" s="112"/>
      <c r="H105" s="11"/>
      <c r="I105" s="43"/>
      <c r="J105" s="11"/>
      <c r="K105" s="11"/>
    </row>
    <row r="106" spans="1:11" ht="15.75" customHeight="1" x14ac:dyDescent="0.3">
      <c r="A106" s="11"/>
      <c r="B106" s="11"/>
      <c r="C106" s="11"/>
      <c r="D106" s="43"/>
      <c r="E106" s="43"/>
      <c r="F106" s="112"/>
      <c r="G106" s="112"/>
      <c r="H106" s="11"/>
      <c r="I106" s="43"/>
      <c r="J106" s="11"/>
      <c r="K106" s="11"/>
    </row>
    <row r="107" spans="1:11" ht="15.75" customHeight="1" x14ac:dyDescent="0.3">
      <c r="A107" s="11"/>
      <c r="B107" s="11"/>
      <c r="C107" s="11"/>
      <c r="D107" s="43"/>
      <c r="E107" s="43"/>
      <c r="F107" s="112"/>
      <c r="G107" s="112"/>
      <c r="H107" s="11"/>
      <c r="I107" s="43"/>
      <c r="J107" s="11"/>
      <c r="K107" s="11"/>
    </row>
    <row r="108" spans="1:11" ht="15.75" customHeight="1" x14ac:dyDescent="0.3">
      <c r="A108" s="11"/>
      <c r="B108" s="11"/>
      <c r="C108" s="11"/>
      <c r="D108" s="43"/>
      <c r="E108" s="43"/>
      <c r="F108" s="112"/>
      <c r="G108" s="112"/>
      <c r="H108" s="11"/>
      <c r="I108" s="43"/>
      <c r="J108" s="11"/>
      <c r="K108" s="11"/>
    </row>
    <row r="109" spans="1:11" ht="15.75" customHeight="1" x14ac:dyDescent="0.3">
      <c r="A109" s="11"/>
      <c r="B109" s="11"/>
      <c r="C109" s="11"/>
      <c r="D109" s="43"/>
      <c r="E109" s="43"/>
      <c r="F109" s="112"/>
      <c r="G109" s="112"/>
      <c r="H109" s="11"/>
      <c r="I109" s="43"/>
      <c r="J109" s="11"/>
      <c r="K109" s="11"/>
    </row>
    <row r="110" spans="1:11" ht="15.75" customHeight="1" x14ac:dyDescent="0.3">
      <c r="A110" s="11"/>
      <c r="B110" s="11"/>
      <c r="C110" s="11"/>
      <c r="D110" s="43"/>
      <c r="E110" s="43"/>
      <c r="F110" s="112"/>
      <c r="G110" s="112"/>
      <c r="H110" s="11"/>
      <c r="I110" s="43"/>
      <c r="J110" s="11"/>
      <c r="K110" s="11"/>
    </row>
    <row r="111" spans="1:11" ht="15.75" customHeight="1" x14ac:dyDescent="0.3">
      <c r="A111" s="11"/>
      <c r="B111" s="11"/>
      <c r="C111" s="11"/>
      <c r="D111" s="43"/>
      <c r="E111" s="43"/>
      <c r="F111" s="112"/>
      <c r="G111" s="112"/>
      <c r="H111" s="11"/>
      <c r="I111" s="43"/>
      <c r="J111" s="11"/>
      <c r="K111" s="11"/>
    </row>
    <row r="112" spans="1:11" ht="15.75" customHeight="1" x14ac:dyDescent="0.3">
      <c r="A112" s="11"/>
      <c r="B112" s="11"/>
      <c r="C112" s="11"/>
      <c r="D112" s="43"/>
      <c r="E112" s="43"/>
      <c r="F112" s="112"/>
      <c r="G112" s="112"/>
      <c r="H112" s="11"/>
      <c r="I112" s="43"/>
      <c r="J112" s="11"/>
      <c r="K112" s="11"/>
    </row>
    <row r="113" spans="1:11" ht="15.75" customHeight="1" x14ac:dyDescent="0.3">
      <c r="A113" s="11"/>
      <c r="B113" s="11"/>
      <c r="C113" s="11"/>
      <c r="D113" s="43"/>
      <c r="E113" s="43"/>
      <c r="F113" s="112"/>
      <c r="G113" s="112"/>
      <c r="H113" s="11"/>
      <c r="I113" s="43"/>
      <c r="J113" s="11"/>
      <c r="K113" s="11"/>
    </row>
    <row r="114" spans="1:11" ht="15.75" customHeight="1" x14ac:dyDescent="0.3">
      <c r="A114" s="11"/>
      <c r="B114" s="11"/>
      <c r="C114" s="11"/>
      <c r="D114" s="43"/>
      <c r="E114" s="43"/>
      <c r="F114" s="112"/>
      <c r="G114" s="112"/>
      <c r="H114" s="11"/>
      <c r="I114" s="43"/>
      <c r="J114" s="11"/>
      <c r="K114" s="11"/>
    </row>
    <row r="115" spans="1:11" ht="15.75" customHeight="1" x14ac:dyDescent="0.3">
      <c r="A115" s="11"/>
      <c r="B115" s="11"/>
      <c r="C115" s="11"/>
      <c r="D115" s="43"/>
      <c r="E115" s="43"/>
      <c r="F115" s="112"/>
      <c r="G115" s="112"/>
      <c r="H115" s="11"/>
      <c r="I115" s="43"/>
      <c r="J115" s="11"/>
      <c r="K115" s="11"/>
    </row>
    <row r="116" spans="1:11" ht="15.75" customHeight="1" x14ac:dyDescent="0.3">
      <c r="A116" s="11"/>
      <c r="B116" s="11"/>
      <c r="C116" s="11"/>
      <c r="D116" s="43"/>
      <c r="E116" s="43"/>
      <c r="F116" s="112"/>
      <c r="G116" s="112"/>
      <c r="H116" s="11"/>
      <c r="I116" s="43"/>
      <c r="J116" s="11"/>
      <c r="K116" s="11"/>
    </row>
    <row r="117" spans="1:11" ht="15.75" customHeight="1" x14ac:dyDescent="0.3">
      <c r="A117" s="11"/>
      <c r="B117" s="11"/>
      <c r="C117" s="11"/>
      <c r="D117" s="43"/>
      <c r="E117" s="43"/>
      <c r="F117" s="112"/>
      <c r="G117" s="112"/>
      <c r="H117" s="11"/>
      <c r="I117" s="43"/>
      <c r="J117" s="11"/>
      <c r="K117" s="11"/>
    </row>
    <row r="118" spans="1:11" ht="15.75" customHeight="1" x14ac:dyDescent="0.3">
      <c r="A118" s="11"/>
      <c r="B118" s="11"/>
      <c r="C118" s="11"/>
      <c r="D118" s="43"/>
      <c r="E118" s="43"/>
      <c r="F118" s="112"/>
      <c r="G118" s="112"/>
      <c r="H118" s="11"/>
      <c r="I118" s="43"/>
      <c r="J118" s="11"/>
      <c r="K118" s="11"/>
    </row>
    <row r="119" spans="1:11" ht="15.75" customHeight="1" x14ac:dyDescent="0.3">
      <c r="A119" s="11"/>
      <c r="B119" s="11"/>
      <c r="C119" s="11"/>
      <c r="D119" s="43"/>
      <c r="E119" s="43"/>
      <c r="F119" s="112"/>
      <c r="G119" s="112"/>
      <c r="H119" s="11"/>
      <c r="I119" s="43"/>
      <c r="J119" s="11"/>
      <c r="K119" s="11"/>
    </row>
    <row r="120" spans="1:11" ht="15.75" customHeight="1" x14ac:dyDescent="0.3">
      <c r="A120" s="11"/>
      <c r="B120" s="11"/>
      <c r="C120" s="11"/>
      <c r="D120" s="43"/>
      <c r="E120" s="43"/>
      <c r="F120" s="112"/>
      <c r="G120" s="112"/>
      <c r="H120" s="11"/>
      <c r="I120" s="43"/>
      <c r="J120" s="11"/>
      <c r="K120" s="11"/>
    </row>
    <row r="121" spans="1:11" ht="15.75" customHeight="1" x14ac:dyDescent="0.3">
      <c r="A121" s="11"/>
      <c r="B121" s="11"/>
      <c r="C121" s="11"/>
      <c r="D121" s="43"/>
      <c r="E121" s="43"/>
      <c r="F121" s="112"/>
      <c r="G121" s="112"/>
      <c r="H121" s="11"/>
      <c r="I121" s="43"/>
      <c r="J121" s="11"/>
      <c r="K121" s="11"/>
    </row>
    <row r="122" spans="1:11" ht="15.75" customHeight="1" x14ac:dyDescent="0.3">
      <c r="A122" s="11"/>
      <c r="B122" s="11"/>
      <c r="C122" s="11"/>
      <c r="D122" s="43"/>
      <c r="E122" s="43"/>
      <c r="F122" s="112"/>
      <c r="G122" s="112"/>
      <c r="H122" s="11"/>
      <c r="I122" s="43"/>
      <c r="J122" s="11"/>
      <c r="K122" s="11"/>
    </row>
    <row r="123" spans="1:11" ht="15.75" customHeight="1" x14ac:dyDescent="0.3">
      <c r="A123" s="11"/>
      <c r="B123" s="11"/>
      <c r="C123" s="11"/>
      <c r="D123" s="43"/>
      <c r="E123" s="43"/>
      <c r="F123" s="112"/>
      <c r="G123" s="112"/>
      <c r="H123" s="11"/>
      <c r="I123" s="43"/>
      <c r="J123" s="11"/>
      <c r="K123" s="11"/>
    </row>
    <row r="124" spans="1:11" ht="15.75" customHeight="1" x14ac:dyDescent="0.3">
      <c r="A124" s="11"/>
      <c r="B124" s="11"/>
      <c r="C124" s="11"/>
      <c r="D124" s="43"/>
      <c r="E124" s="43"/>
      <c r="F124" s="112"/>
      <c r="G124" s="112"/>
      <c r="H124" s="11"/>
      <c r="I124" s="43"/>
      <c r="J124" s="11"/>
      <c r="K124" s="11"/>
    </row>
    <row r="125" spans="1:11" ht="15.75" customHeight="1" x14ac:dyDescent="0.3">
      <c r="A125" s="11"/>
      <c r="B125" s="11"/>
      <c r="C125" s="11"/>
      <c r="D125" s="43"/>
      <c r="E125" s="43"/>
      <c r="F125" s="112"/>
      <c r="G125" s="112"/>
      <c r="H125" s="11"/>
      <c r="I125" s="43"/>
      <c r="J125" s="11"/>
      <c r="K125" s="11"/>
    </row>
    <row r="126" spans="1:11" ht="15.75" customHeight="1" x14ac:dyDescent="0.3">
      <c r="A126" s="11"/>
      <c r="B126" s="11"/>
      <c r="C126" s="11"/>
      <c r="D126" s="43"/>
      <c r="E126" s="43"/>
      <c r="F126" s="112"/>
      <c r="G126" s="112"/>
      <c r="H126" s="11"/>
      <c r="I126" s="43"/>
      <c r="J126" s="11"/>
      <c r="K126" s="11"/>
    </row>
    <row r="127" spans="1:11" ht="15.75" customHeight="1" x14ac:dyDescent="0.3">
      <c r="A127" s="11"/>
      <c r="B127" s="11"/>
      <c r="C127" s="11"/>
      <c r="D127" s="43"/>
      <c r="E127" s="43"/>
      <c r="F127" s="112"/>
      <c r="G127" s="112"/>
      <c r="H127" s="11"/>
      <c r="I127" s="43"/>
      <c r="J127" s="11"/>
      <c r="K127" s="11"/>
    </row>
    <row r="128" spans="1:11" ht="15.75" customHeight="1" x14ac:dyDescent="0.3">
      <c r="A128" s="11"/>
      <c r="B128" s="11"/>
      <c r="C128" s="11"/>
      <c r="D128" s="43"/>
      <c r="E128" s="43"/>
      <c r="F128" s="112"/>
      <c r="G128" s="112"/>
      <c r="H128" s="11"/>
      <c r="I128" s="43"/>
      <c r="J128" s="11"/>
      <c r="K128" s="11"/>
    </row>
    <row r="129" spans="1:11" ht="15.75" customHeight="1" x14ac:dyDescent="0.3">
      <c r="A129" s="11"/>
      <c r="B129" s="11"/>
      <c r="C129" s="11"/>
      <c r="D129" s="43"/>
      <c r="E129" s="43"/>
      <c r="F129" s="112"/>
      <c r="G129" s="112"/>
      <c r="H129" s="11"/>
      <c r="I129" s="43"/>
      <c r="J129" s="11"/>
      <c r="K129" s="11"/>
    </row>
    <row r="130" spans="1:11" ht="15.75" customHeight="1" x14ac:dyDescent="0.3">
      <c r="A130" s="11"/>
      <c r="B130" s="11"/>
      <c r="C130" s="11"/>
      <c r="D130" s="43"/>
      <c r="E130" s="43"/>
      <c r="F130" s="112"/>
      <c r="G130" s="112"/>
      <c r="H130" s="11"/>
      <c r="I130" s="43"/>
      <c r="J130" s="11"/>
      <c r="K130" s="11"/>
    </row>
    <row r="131" spans="1:11" ht="15.75" customHeight="1" x14ac:dyDescent="0.3">
      <c r="A131" s="11"/>
      <c r="B131" s="11"/>
      <c r="C131" s="11"/>
      <c r="D131" s="43"/>
      <c r="E131" s="43"/>
      <c r="F131" s="112"/>
      <c r="G131" s="112"/>
      <c r="H131" s="11"/>
      <c r="I131" s="43"/>
      <c r="J131" s="11"/>
      <c r="K131" s="11"/>
    </row>
    <row r="132" spans="1:11" ht="15.75" customHeight="1" x14ac:dyDescent="0.3">
      <c r="A132" s="11"/>
      <c r="B132" s="11"/>
      <c r="C132" s="11"/>
      <c r="D132" s="43"/>
      <c r="E132" s="43"/>
      <c r="F132" s="112"/>
      <c r="G132" s="112"/>
      <c r="H132" s="11"/>
      <c r="I132" s="43"/>
      <c r="J132" s="11"/>
      <c r="K132" s="11"/>
    </row>
    <row r="133" spans="1:11" ht="15.75" customHeight="1" x14ac:dyDescent="0.3">
      <c r="A133" s="11"/>
      <c r="B133" s="11"/>
      <c r="C133" s="11"/>
      <c r="D133" s="43"/>
      <c r="E133" s="43"/>
      <c r="F133" s="112"/>
      <c r="G133" s="112"/>
      <c r="H133" s="11"/>
      <c r="I133" s="43"/>
      <c r="J133" s="11"/>
      <c r="K133" s="11"/>
    </row>
    <row r="134" spans="1:11" ht="15.75" customHeight="1" x14ac:dyDescent="0.3">
      <c r="A134" s="11"/>
      <c r="B134" s="11"/>
      <c r="C134" s="11"/>
      <c r="D134" s="43"/>
      <c r="E134" s="43"/>
      <c r="F134" s="112"/>
      <c r="G134" s="112"/>
      <c r="H134" s="11"/>
      <c r="I134" s="43"/>
      <c r="J134" s="11"/>
      <c r="K134" s="11"/>
    </row>
    <row r="135" spans="1:11" ht="15.75" customHeight="1" x14ac:dyDescent="0.3">
      <c r="A135" s="11"/>
      <c r="B135" s="11"/>
      <c r="C135" s="11"/>
      <c r="D135" s="43"/>
      <c r="E135" s="43"/>
      <c r="F135" s="112"/>
      <c r="G135" s="112"/>
      <c r="H135" s="11"/>
      <c r="I135" s="43"/>
      <c r="J135" s="11"/>
      <c r="K135" s="11"/>
    </row>
    <row r="136" spans="1:11" ht="15.75" customHeight="1" x14ac:dyDescent="0.3">
      <c r="A136" s="11"/>
      <c r="B136" s="11"/>
      <c r="C136" s="11"/>
      <c r="D136" s="43"/>
      <c r="E136" s="43"/>
      <c r="F136" s="112"/>
      <c r="G136" s="112"/>
      <c r="H136" s="11"/>
      <c r="I136" s="43"/>
      <c r="J136" s="11"/>
      <c r="K136" s="11"/>
    </row>
    <row r="137" spans="1:11" ht="15.75" customHeight="1" x14ac:dyDescent="0.3">
      <c r="A137" s="11"/>
      <c r="B137" s="11"/>
      <c r="C137" s="11"/>
      <c r="D137" s="43"/>
      <c r="E137" s="43"/>
      <c r="F137" s="112"/>
      <c r="G137" s="112"/>
      <c r="H137" s="11"/>
      <c r="I137" s="43"/>
      <c r="J137" s="11"/>
      <c r="K137" s="11"/>
    </row>
    <row r="138" spans="1:11" ht="15.75" customHeight="1" x14ac:dyDescent="0.3">
      <c r="A138" s="11"/>
      <c r="B138" s="11"/>
      <c r="C138" s="11"/>
      <c r="D138" s="43"/>
      <c r="E138" s="43"/>
      <c r="F138" s="112"/>
      <c r="G138" s="112"/>
      <c r="H138" s="11"/>
      <c r="I138" s="43"/>
      <c r="J138" s="11"/>
      <c r="K138" s="11"/>
    </row>
    <row r="139" spans="1:11" ht="15.75" customHeight="1" x14ac:dyDescent="0.3">
      <c r="A139" s="11"/>
      <c r="B139" s="11"/>
      <c r="C139" s="11"/>
      <c r="D139" s="43"/>
      <c r="E139" s="43"/>
      <c r="F139" s="112"/>
      <c r="G139" s="112"/>
      <c r="H139" s="11"/>
      <c r="I139" s="43"/>
      <c r="J139" s="11"/>
      <c r="K139" s="11"/>
    </row>
    <row r="140" spans="1:11" ht="15.75" customHeight="1" x14ac:dyDescent="0.3">
      <c r="A140" s="11"/>
      <c r="B140" s="11"/>
      <c r="C140" s="11"/>
      <c r="D140" s="43"/>
      <c r="E140" s="43"/>
      <c r="F140" s="112"/>
      <c r="G140" s="112"/>
      <c r="H140" s="11"/>
      <c r="I140" s="43"/>
      <c r="J140" s="11"/>
      <c r="K140" s="11"/>
    </row>
    <row r="141" spans="1:11" ht="15.75" customHeight="1" x14ac:dyDescent="0.3">
      <c r="A141" s="11"/>
      <c r="B141" s="11"/>
      <c r="C141" s="11"/>
      <c r="D141" s="43"/>
      <c r="E141" s="43"/>
      <c r="F141" s="112"/>
      <c r="G141" s="112"/>
      <c r="H141" s="11"/>
      <c r="I141" s="43"/>
      <c r="J141" s="11"/>
      <c r="K141" s="11"/>
    </row>
  </sheetData>
  <mergeCells count="6">
    <mergeCell ref="F88:I88"/>
    <mergeCell ref="A4:H4"/>
    <mergeCell ref="A1:B2"/>
    <mergeCell ref="F1:I1"/>
    <mergeCell ref="F2:I2"/>
    <mergeCell ref="F83:I83"/>
  </mergeCells>
  <phoneticPr fontId="60" type="noConversion"/>
  <pageMargins left="0.5" right="0.5" top="0.5" bottom="0.5" header="0" footer="0"/>
  <pageSetup scale="7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66"/>
  <sheetViews>
    <sheetView workbookViewId="0">
      <pane ySplit="4" topLeftCell="A77" activePane="bottomLeft" state="frozen"/>
      <selection pane="bottomLeft" activeCell="B83" sqref="B83:I83"/>
    </sheetView>
  </sheetViews>
  <sheetFormatPr defaultColWidth="14.33203125" defaultRowHeight="15" customHeight="1" x14ac:dyDescent="0.3"/>
  <cols>
    <col min="1" max="1" width="5.77734375" style="114" customWidth="1"/>
    <col min="2" max="2" width="81.21875" customWidth="1"/>
    <col min="3" max="3" width="9.77734375" style="114" customWidth="1"/>
    <col min="4" max="4" width="10.109375" style="114" customWidth="1"/>
    <col min="5" max="5" width="11" customWidth="1"/>
    <col min="6" max="6" width="13.21875" customWidth="1"/>
    <col min="7" max="7" width="10.33203125" customWidth="1"/>
    <col min="8" max="8" width="9.88671875" customWidth="1"/>
    <col min="9" max="9" width="13.109375" customWidth="1"/>
    <col min="10" max="17" width="10.6640625" customWidth="1"/>
  </cols>
  <sheetData>
    <row r="1" spans="1:26" ht="14.25" customHeight="1" x14ac:dyDescent="0.3">
      <c r="A1" s="193" t="s">
        <v>373</v>
      </c>
      <c r="B1" s="194"/>
      <c r="C1" s="103"/>
      <c r="D1" s="103"/>
      <c r="E1" s="104"/>
      <c r="F1" s="195" t="s">
        <v>0</v>
      </c>
      <c r="G1" s="194"/>
      <c r="H1" s="194"/>
      <c r="I1" s="194"/>
      <c r="J1" s="102"/>
      <c r="K1" s="102"/>
      <c r="L1" s="102"/>
      <c r="M1" s="102"/>
      <c r="N1" s="102"/>
      <c r="O1" s="102"/>
      <c r="P1" s="102"/>
      <c r="Q1" s="102"/>
      <c r="R1" s="102"/>
      <c r="S1" s="102"/>
      <c r="T1" s="102"/>
      <c r="U1" s="102"/>
      <c r="V1" s="102"/>
      <c r="W1" s="102"/>
      <c r="X1" s="102"/>
      <c r="Y1" s="102"/>
      <c r="Z1" s="102"/>
    </row>
    <row r="2" spans="1:26" ht="24.6" customHeight="1" x14ac:dyDescent="0.3">
      <c r="A2" s="194"/>
      <c r="B2" s="194"/>
      <c r="C2" s="103"/>
      <c r="D2" s="103"/>
      <c r="E2" s="104"/>
      <c r="F2" s="196" t="s">
        <v>372</v>
      </c>
      <c r="G2" s="194"/>
      <c r="H2" s="194"/>
      <c r="I2" s="194"/>
      <c r="J2" s="102"/>
      <c r="K2" s="102"/>
      <c r="L2" s="102"/>
      <c r="M2" s="102"/>
      <c r="N2" s="102"/>
      <c r="O2" s="102"/>
      <c r="P2" s="102"/>
      <c r="Q2" s="102"/>
      <c r="R2" s="102"/>
      <c r="S2" s="102"/>
      <c r="T2" s="102"/>
      <c r="U2" s="102"/>
      <c r="V2" s="102"/>
      <c r="W2" s="102"/>
      <c r="X2" s="102"/>
      <c r="Y2" s="102"/>
      <c r="Z2" s="102"/>
    </row>
    <row r="3" spans="1:26" ht="49.5" customHeight="1" x14ac:dyDescent="0.35">
      <c r="A3" s="243" t="s">
        <v>348</v>
      </c>
      <c r="B3" s="244"/>
      <c r="C3" s="244"/>
      <c r="D3" s="244"/>
      <c r="E3" s="244"/>
      <c r="F3" s="244"/>
      <c r="G3" s="244"/>
      <c r="H3" s="244"/>
      <c r="I3" s="244"/>
      <c r="J3" s="11"/>
      <c r="K3" s="11"/>
      <c r="L3" s="11"/>
      <c r="M3" s="11"/>
      <c r="N3" s="11"/>
      <c r="O3" s="11"/>
      <c r="P3" s="11"/>
      <c r="Q3" s="11"/>
    </row>
    <row r="4" spans="1:26" ht="41.25" customHeight="1" x14ac:dyDescent="0.3">
      <c r="A4" s="115" t="s">
        <v>1</v>
      </c>
      <c r="B4" s="115" t="s">
        <v>2</v>
      </c>
      <c r="C4" s="115" t="s">
        <v>184</v>
      </c>
      <c r="D4" s="115" t="s">
        <v>7</v>
      </c>
      <c r="E4" s="115" t="s">
        <v>8</v>
      </c>
      <c r="F4" s="116" t="s">
        <v>25</v>
      </c>
      <c r="G4" s="116" t="s">
        <v>26</v>
      </c>
      <c r="H4" s="116" t="s">
        <v>27</v>
      </c>
      <c r="I4" s="116" t="s">
        <v>185</v>
      </c>
      <c r="J4" s="18"/>
      <c r="K4" s="18"/>
      <c r="L4" s="18"/>
      <c r="M4" s="18"/>
      <c r="N4" s="18"/>
      <c r="O4" s="18"/>
      <c r="P4" s="18"/>
      <c r="Q4" s="18"/>
    </row>
    <row r="5" spans="1:26" ht="79.8" customHeight="1" x14ac:dyDescent="0.3">
      <c r="A5" s="117">
        <v>1</v>
      </c>
      <c r="B5" s="117">
        <v>2</v>
      </c>
      <c r="C5" s="117" t="s">
        <v>186</v>
      </c>
      <c r="D5" s="117" t="s">
        <v>187</v>
      </c>
      <c r="E5" s="117" t="s">
        <v>188</v>
      </c>
      <c r="F5" s="117" t="s">
        <v>346</v>
      </c>
      <c r="G5" s="117" t="s">
        <v>347</v>
      </c>
      <c r="H5" s="117" t="s">
        <v>189</v>
      </c>
      <c r="I5" s="117" t="s">
        <v>190</v>
      </c>
      <c r="J5" s="11"/>
      <c r="K5" s="11"/>
      <c r="L5" s="11"/>
      <c r="M5" s="11"/>
      <c r="N5" s="11"/>
      <c r="O5" s="11"/>
      <c r="P5" s="11"/>
      <c r="Q5" s="11"/>
    </row>
    <row r="6" spans="1:26" ht="29.25" customHeight="1" x14ac:dyDescent="0.3">
      <c r="A6" s="118" t="s">
        <v>10</v>
      </c>
      <c r="B6" s="148" t="s">
        <v>351</v>
      </c>
      <c r="C6" s="119"/>
      <c r="D6" s="120"/>
      <c r="E6" s="121"/>
      <c r="F6" s="122"/>
      <c r="G6" s="123"/>
      <c r="H6" s="121"/>
      <c r="I6" s="124"/>
      <c r="J6" s="11"/>
      <c r="K6" s="11"/>
      <c r="L6" s="11"/>
      <c r="M6" s="11"/>
      <c r="N6" s="11"/>
      <c r="O6" s="11"/>
      <c r="P6" s="11"/>
      <c r="Q6" s="11"/>
    </row>
    <row r="7" spans="1:26" ht="15.6" x14ac:dyDescent="0.3">
      <c r="A7" s="107">
        <v>1</v>
      </c>
      <c r="B7" s="111">
        <f>'1- DM SP CHUẨN'!B8</f>
        <v>0</v>
      </c>
      <c r="C7" s="119">
        <f>'1- DM SP CHUẨN'!F8</f>
        <v>0</v>
      </c>
      <c r="D7" s="120">
        <f>'1- DM SP CHUẨN'!G8</f>
        <v>0</v>
      </c>
      <c r="E7" s="121">
        <f>C7*D7</f>
        <v>0</v>
      </c>
      <c r="F7" s="187"/>
      <c r="G7" s="188"/>
      <c r="H7" s="121">
        <f>C7*(30%*F7+70%*G7)</f>
        <v>0</v>
      </c>
      <c r="I7" s="124">
        <f>H7*D7</f>
        <v>0</v>
      </c>
      <c r="J7" s="11"/>
      <c r="K7" s="11"/>
      <c r="L7" s="11"/>
      <c r="M7" s="11"/>
      <c r="N7" s="11"/>
      <c r="O7" s="11"/>
      <c r="P7" s="11"/>
      <c r="Q7" s="11"/>
    </row>
    <row r="8" spans="1:26" ht="15.6" x14ac:dyDescent="0.3">
      <c r="A8" s="107">
        <v>2</v>
      </c>
      <c r="B8" s="111">
        <f>'1- DM SP CHUẨN'!B9</f>
        <v>0</v>
      </c>
      <c r="C8" s="119">
        <f>'1- DM SP CHUẨN'!F9</f>
        <v>0</v>
      </c>
      <c r="D8" s="120">
        <f>'1- DM SP CHUẨN'!G9</f>
        <v>0</v>
      </c>
      <c r="E8" s="121">
        <f t="shared" ref="E8:E53" si="0">C8*D8</f>
        <v>0</v>
      </c>
      <c r="F8" s="187"/>
      <c r="G8" s="188"/>
      <c r="H8" s="121">
        <f t="shared" ref="H8:H53" si="1">C8*(30%*F8+70%*G8)</f>
        <v>0</v>
      </c>
      <c r="I8" s="124">
        <f t="shared" ref="I8:I53" si="2">H8*D8</f>
        <v>0</v>
      </c>
      <c r="J8" s="11"/>
      <c r="K8" s="11"/>
      <c r="L8" s="11"/>
      <c r="M8" s="11"/>
      <c r="N8" s="11"/>
      <c r="O8" s="11"/>
      <c r="P8" s="11"/>
      <c r="Q8" s="11"/>
    </row>
    <row r="9" spans="1:26" ht="15.6" x14ac:dyDescent="0.3">
      <c r="A9" s="107">
        <v>3</v>
      </c>
      <c r="B9" s="111">
        <f>'1- DM SP CHUẨN'!B10</f>
        <v>0</v>
      </c>
      <c r="C9" s="119">
        <f>'1- DM SP CHUẨN'!F10</f>
        <v>0</v>
      </c>
      <c r="D9" s="120">
        <f>'1- DM SP CHUẨN'!G10</f>
        <v>0</v>
      </c>
      <c r="E9" s="121">
        <f t="shared" si="0"/>
        <v>0</v>
      </c>
      <c r="F9" s="187"/>
      <c r="G9" s="188"/>
      <c r="H9" s="121">
        <f t="shared" si="1"/>
        <v>0</v>
      </c>
      <c r="I9" s="124">
        <f t="shared" si="2"/>
        <v>0</v>
      </c>
      <c r="J9" s="11"/>
      <c r="K9" s="11"/>
      <c r="L9" s="11"/>
      <c r="M9" s="11"/>
      <c r="N9" s="11"/>
      <c r="O9" s="11"/>
      <c r="P9" s="11"/>
      <c r="Q9" s="11"/>
    </row>
    <row r="10" spans="1:26" ht="15.6" x14ac:dyDescent="0.3">
      <c r="A10" s="107">
        <v>4</v>
      </c>
      <c r="B10" s="111">
        <f>'1- DM SP CHUẨN'!B11</f>
        <v>0</v>
      </c>
      <c r="C10" s="119">
        <f>'1- DM SP CHUẨN'!F11</f>
        <v>0</v>
      </c>
      <c r="D10" s="120">
        <f>'1- DM SP CHUẨN'!G11</f>
        <v>0</v>
      </c>
      <c r="E10" s="121">
        <f t="shared" si="0"/>
        <v>0</v>
      </c>
      <c r="F10" s="187"/>
      <c r="G10" s="188"/>
      <c r="H10" s="121">
        <f t="shared" si="1"/>
        <v>0</v>
      </c>
      <c r="I10" s="124">
        <f t="shared" si="2"/>
        <v>0</v>
      </c>
      <c r="J10" s="11"/>
      <c r="K10" s="11"/>
      <c r="L10" s="11"/>
      <c r="M10" s="11"/>
      <c r="N10" s="11"/>
      <c r="O10" s="11"/>
      <c r="P10" s="11"/>
      <c r="Q10" s="11"/>
    </row>
    <row r="11" spans="1:26" ht="15.6" x14ac:dyDescent="0.3">
      <c r="A11" s="107">
        <v>5</v>
      </c>
      <c r="B11" s="111">
        <f>'1- DM SP CHUẨN'!B12</f>
        <v>0</v>
      </c>
      <c r="C11" s="119">
        <f>'1- DM SP CHUẨN'!F12</f>
        <v>0</v>
      </c>
      <c r="D11" s="120">
        <f>'1- DM SP CHUẨN'!G12</f>
        <v>0</v>
      </c>
      <c r="E11" s="121">
        <f t="shared" si="0"/>
        <v>0</v>
      </c>
      <c r="F11" s="187"/>
      <c r="G11" s="188"/>
      <c r="H11" s="121">
        <f t="shared" si="1"/>
        <v>0</v>
      </c>
      <c r="I11" s="124">
        <f t="shared" si="2"/>
        <v>0</v>
      </c>
      <c r="J11" s="11"/>
      <c r="K11" s="11"/>
      <c r="L11" s="11"/>
      <c r="M11" s="11"/>
      <c r="N11" s="11"/>
      <c r="O11" s="11"/>
      <c r="P11" s="11"/>
      <c r="Q11" s="11"/>
    </row>
    <row r="12" spans="1:26" ht="15.6" x14ac:dyDescent="0.3">
      <c r="A12" s="107">
        <v>6</v>
      </c>
      <c r="B12" s="111">
        <f>'1- DM SP CHUẨN'!B13</f>
        <v>0</v>
      </c>
      <c r="C12" s="119">
        <f>'1- DM SP CHUẨN'!F13</f>
        <v>0</v>
      </c>
      <c r="D12" s="120">
        <f>'1- DM SP CHUẨN'!G13</f>
        <v>0</v>
      </c>
      <c r="E12" s="121">
        <f t="shared" si="0"/>
        <v>0</v>
      </c>
      <c r="F12" s="187"/>
      <c r="G12" s="188"/>
      <c r="H12" s="121">
        <f t="shared" si="1"/>
        <v>0</v>
      </c>
      <c r="I12" s="124">
        <f t="shared" si="2"/>
        <v>0</v>
      </c>
      <c r="J12" s="11"/>
      <c r="K12" s="11"/>
      <c r="L12" s="11"/>
      <c r="M12" s="11"/>
      <c r="N12" s="11"/>
      <c r="O12" s="11"/>
      <c r="P12" s="11"/>
      <c r="Q12" s="11"/>
    </row>
    <row r="13" spans="1:26" ht="15.6" x14ac:dyDescent="0.3">
      <c r="A13" s="107">
        <v>7</v>
      </c>
      <c r="B13" s="111">
        <f>'1- DM SP CHUẨN'!B14</f>
        <v>0</v>
      </c>
      <c r="C13" s="119">
        <f>'1- DM SP CHUẨN'!F14</f>
        <v>0</v>
      </c>
      <c r="D13" s="120">
        <f>'1- DM SP CHUẨN'!G14</f>
        <v>0</v>
      </c>
      <c r="E13" s="121">
        <f t="shared" si="0"/>
        <v>0</v>
      </c>
      <c r="F13" s="187"/>
      <c r="G13" s="188"/>
      <c r="H13" s="121">
        <f t="shared" si="1"/>
        <v>0</v>
      </c>
      <c r="I13" s="124">
        <f t="shared" si="2"/>
        <v>0</v>
      </c>
      <c r="J13" s="11"/>
      <c r="K13" s="11"/>
      <c r="L13" s="11"/>
      <c r="M13" s="11"/>
      <c r="N13" s="11"/>
      <c r="O13" s="11"/>
      <c r="P13" s="11"/>
      <c r="Q13" s="11"/>
    </row>
    <row r="14" spans="1:26" ht="15.6" x14ac:dyDescent="0.3">
      <c r="A14" s="107">
        <v>8</v>
      </c>
      <c r="B14" s="111">
        <f>'1- DM SP CHUẨN'!B15</f>
        <v>0</v>
      </c>
      <c r="C14" s="119">
        <f>'1- DM SP CHUẨN'!F15</f>
        <v>0</v>
      </c>
      <c r="D14" s="120">
        <f>'1- DM SP CHUẨN'!G15</f>
        <v>0</v>
      </c>
      <c r="E14" s="121">
        <f t="shared" si="0"/>
        <v>0</v>
      </c>
      <c r="F14" s="187"/>
      <c r="G14" s="188"/>
      <c r="H14" s="121">
        <f t="shared" si="1"/>
        <v>0</v>
      </c>
      <c r="I14" s="124">
        <f t="shared" si="2"/>
        <v>0</v>
      </c>
      <c r="J14" s="11"/>
      <c r="K14" s="11"/>
      <c r="L14" s="11"/>
      <c r="M14" s="11"/>
      <c r="N14" s="11"/>
      <c r="O14" s="11"/>
      <c r="P14" s="11"/>
      <c r="Q14" s="11"/>
    </row>
    <row r="15" spans="1:26" ht="15.6" x14ac:dyDescent="0.3">
      <c r="A15" s="107">
        <v>9</v>
      </c>
      <c r="B15" s="111">
        <f>'1- DM SP CHUẨN'!B16</f>
        <v>0</v>
      </c>
      <c r="C15" s="119">
        <f>'1- DM SP CHUẨN'!F16</f>
        <v>0</v>
      </c>
      <c r="D15" s="120">
        <f>'1- DM SP CHUẨN'!G16</f>
        <v>0</v>
      </c>
      <c r="E15" s="121">
        <f t="shared" si="0"/>
        <v>0</v>
      </c>
      <c r="F15" s="187"/>
      <c r="G15" s="188"/>
      <c r="H15" s="121">
        <f t="shared" si="1"/>
        <v>0</v>
      </c>
      <c r="I15" s="124">
        <f t="shared" si="2"/>
        <v>0</v>
      </c>
      <c r="J15" s="11"/>
      <c r="K15" s="11"/>
      <c r="L15" s="11"/>
      <c r="M15" s="11"/>
      <c r="N15" s="11"/>
      <c r="O15" s="11"/>
      <c r="P15" s="11"/>
      <c r="Q15" s="11"/>
    </row>
    <row r="16" spans="1:26" ht="15.6" x14ac:dyDescent="0.3">
      <c r="A16" s="107">
        <v>10</v>
      </c>
      <c r="B16" s="111">
        <f>'1- DM SP CHUẨN'!B17</f>
        <v>0</v>
      </c>
      <c r="C16" s="119">
        <f>'1- DM SP CHUẨN'!F17</f>
        <v>0</v>
      </c>
      <c r="D16" s="120">
        <f>'1- DM SP CHUẨN'!G17</f>
        <v>0</v>
      </c>
      <c r="E16" s="121">
        <f t="shared" si="0"/>
        <v>0</v>
      </c>
      <c r="F16" s="187"/>
      <c r="G16" s="188"/>
      <c r="H16" s="121">
        <f t="shared" si="1"/>
        <v>0</v>
      </c>
      <c r="I16" s="124">
        <f t="shared" si="2"/>
        <v>0</v>
      </c>
      <c r="J16" s="11"/>
      <c r="K16" s="11"/>
      <c r="L16" s="11"/>
      <c r="M16" s="11"/>
      <c r="N16" s="11"/>
      <c r="O16" s="11"/>
      <c r="P16" s="11"/>
      <c r="Q16" s="11"/>
    </row>
    <row r="17" spans="1:17" ht="15.6" x14ac:dyDescent="0.3">
      <c r="A17" s="107">
        <v>11</v>
      </c>
      <c r="B17" s="111">
        <f>'1- DM SP CHUẨN'!B18</f>
        <v>0</v>
      </c>
      <c r="C17" s="119">
        <f>'1- DM SP CHUẨN'!F18</f>
        <v>0</v>
      </c>
      <c r="D17" s="120">
        <f>'1- DM SP CHUẨN'!G18</f>
        <v>0</v>
      </c>
      <c r="E17" s="121">
        <f t="shared" si="0"/>
        <v>0</v>
      </c>
      <c r="F17" s="187"/>
      <c r="G17" s="188"/>
      <c r="H17" s="121">
        <f t="shared" si="1"/>
        <v>0</v>
      </c>
      <c r="I17" s="124">
        <f t="shared" si="2"/>
        <v>0</v>
      </c>
      <c r="J17" s="11"/>
      <c r="K17" s="11"/>
      <c r="L17" s="11"/>
      <c r="M17" s="11"/>
      <c r="N17" s="11"/>
      <c r="O17" s="11"/>
      <c r="P17" s="11"/>
      <c r="Q17" s="11"/>
    </row>
    <row r="18" spans="1:17" ht="15.6" x14ac:dyDescent="0.3">
      <c r="A18" s="107">
        <v>12</v>
      </c>
      <c r="B18" s="111">
        <f>'1- DM SP CHUẨN'!B19</f>
        <v>0</v>
      </c>
      <c r="C18" s="119">
        <f>'1- DM SP CHUẨN'!F19</f>
        <v>0</v>
      </c>
      <c r="D18" s="120">
        <f>'1- DM SP CHUẨN'!G19</f>
        <v>0</v>
      </c>
      <c r="E18" s="121">
        <f t="shared" si="0"/>
        <v>0</v>
      </c>
      <c r="F18" s="187"/>
      <c r="G18" s="188"/>
      <c r="H18" s="121">
        <f t="shared" si="1"/>
        <v>0</v>
      </c>
      <c r="I18" s="124">
        <f t="shared" si="2"/>
        <v>0</v>
      </c>
      <c r="J18" s="11"/>
      <c r="K18" s="11"/>
      <c r="L18" s="11"/>
      <c r="M18" s="11"/>
      <c r="N18" s="11"/>
      <c r="O18" s="11"/>
      <c r="P18" s="11"/>
      <c r="Q18" s="11"/>
    </row>
    <row r="19" spans="1:17" ht="15.6" x14ac:dyDescent="0.3">
      <c r="A19" s="107">
        <v>13</v>
      </c>
      <c r="B19" s="111">
        <f>'1- DM SP CHUẨN'!B20</f>
        <v>0</v>
      </c>
      <c r="C19" s="119">
        <f>'1- DM SP CHUẨN'!F20</f>
        <v>0</v>
      </c>
      <c r="D19" s="120">
        <f>'1- DM SP CHUẨN'!G20</f>
        <v>0</v>
      </c>
      <c r="E19" s="121">
        <f t="shared" si="0"/>
        <v>0</v>
      </c>
      <c r="F19" s="187"/>
      <c r="G19" s="188"/>
      <c r="H19" s="121">
        <f t="shared" si="1"/>
        <v>0</v>
      </c>
      <c r="I19" s="124">
        <f t="shared" si="2"/>
        <v>0</v>
      </c>
      <c r="J19" s="11"/>
      <c r="K19" s="11"/>
      <c r="L19" s="11"/>
      <c r="M19" s="11"/>
      <c r="N19" s="11"/>
      <c r="O19" s="11"/>
      <c r="P19" s="11"/>
      <c r="Q19" s="11"/>
    </row>
    <row r="20" spans="1:17" ht="15.6" x14ac:dyDescent="0.3">
      <c r="A20" s="107">
        <v>14</v>
      </c>
      <c r="B20" s="111">
        <f>'1- DM SP CHUẨN'!B21</f>
        <v>0</v>
      </c>
      <c r="C20" s="119">
        <f>'1- DM SP CHUẨN'!F21</f>
        <v>0</v>
      </c>
      <c r="D20" s="120">
        <f>'1- DM SP CHUẨN'!G21</f>
        <v>0</v>
      </c>
      <c r="E20" s="121">
        <f t="shared" si="0"/>
        <v>0</v>
      </c>
      <c r="F20" s="187"/>
      <c r="G20" s="188"/>
      <c r="H20" s="121">
        <f t="shared" si="1"/>
        <v>0</v>
      </c>
      <c r="I20" s="124">
        <f t="shared" si="2"/>
        <v>0</v>
      </c>
      <c r="J20" s="11"/>
      <c r="K20" s="11"/>
      <c r="L20" s="11"/>
      <c r="M20" s="11"/>
      <c r="N20" s="11"/>
      <c r="O20" s="11"/>
      <c r="P20" s="11"/>
      <c r="Q20" s="11"/>
    </row>
    <row r="21" spans="1:17" ht="15.6" x14ac:dyDescent="0.3">
      <c r="A21" s="107">
        <v>15</v>
      </c>
      <c r="B21" s="111">
        <f>'1- DM SP CHUẨN'!B22</f>
        <v>0</v>
      </c>
      <c r="C21" s="119">
        <f>'1- DM SP CHUẨN'!F22</f>
        <v>0</v>
      </c>
      <c r="D21" s="120">
        <f>'1- DM SP CHUẨN'!G22</f>
        <v>0</v>
      </c>
      <c r="E21" s="121">
        <f t="shared" si="0"/>
        <v>0</v>
      </c>
      <c r="F21" s="187"/>
      <c r="G21" s="189"/>
      <c r="H21" s="121">
        <f t="shared" si="1"/>
        <v>0</v>
      </c>
      <c r="I21" s="124">
        <f t="shared" si="2"/>
        <v>0</v>
      </c>
      <c r="J21" s="11"/>
      <c r="K21" s="11"/>
      <c r="L21" s="11"/>
      <c r="M21" s="11"/>
      <c r="N21" s="11"/>
      <c r="O21" s="11"/>
      <c r="P21" s="11"/>
      <c r="Q21" s="11"/>
    </row>
    <row r="22" spans="1:17" ht="15.6" x14ac:dyDescent="0.3">
      <c r="A22" s="107">
        <v>16</v>
      </c>
      <c r="B22" s="111">
        <f>'1- DM SP CHUẨN'!B23</f>
        <v>0</v>
      </c>
      <c r="C22" s="119">
        <f>'1- DM SP CHUẨN'!F23</f>
        <v>0</v>
      </c>
      <c r="D22" s="120">
        <f>'1- DM SP CHUẨN'!G23</f>
        <v>0</v>
      </c>
      <c r="E22" s="121">
        <f t="shared" si="0"/>
        <v>0</v>
      </c>
      <c r="F22" s="187"/>
      <c r="G22" s="189"/>
      <c r="H22" s="121">
        <f t="shared" si="1"/>
        <v>0</v>
      </c>
      <c r="I22" s="124">
        <f t="shared" si="2"/>
        <v>0</v>
      </c>
      <c r="J22" s="11"/>
      <c r="K22" s="11"/>
      <c r="L22" s="11"/>
      <c r="M22" s="11"/>
      <c r="N22" s="11"/>
      <c r="O22" s="11"/>
      <c r="P22" s="11"/>
      <c r="Q22" s="11"/>
    </row>
    <row r="23" spans="1:17" ht="15.6" x14ac:dyDescent="0.3">
      <c r="A23" s="107">
        <v>17</v>
      </c>
      <c r="B23" s="111">
        <f>'1- DM SP CHUẨN'!B24</f>
        <v>0</v>
      </c>
      <c r="C23" s="119">
        <f>'1- DM SP CHUẨN'!F24</f>
        <v>0</v>
      </c>
      <c r="D23" s="120">
        <f>'1- DM SP CHUẨN'!G24</f>
        <v>0</v>
      </c>
      <c r="E23" s="121">
        <f t="shared" si="0"/>
        <v>0</v>
      </c>
      <c r="F23" s="187"/>
      <c r="G23" s="189"/>
      <c r="H23" s="121">
        <f t="shared" si="1"/>
        <v>0</v>
      </c>
      <c r="I23" s="124">
        <f t="shared" si="2"/>
        <v>0</v>
      </c>
      <c r="J23" s="11"/>
      <c r="K23" s="11"/>
      <c r="L23" s="11"/>
      <c r="M23" s="11"/>
      <c r="N23" s="11"/>
      <c r="O23" s="11"/>
      <c r="P23" s="11"/>
      <c r="Q23" s="11"/>
    </row>
    <row r="24" spans="1:17" ht="15.6" x14ac:dyDescent="0.3">
      <c r="A24" s="107">
        <v>18</v>
      </c>
      <c r="B24" s="111">
        <f>'1- DM SP CHUẨN'!B25</f>
        <v>0</v>
      </c>
      <c r="C24" s="119">
        <f>'1- DM SP CHUẨN'!F25</f>
        <v>0</v>
      </c>
      <c r="D24" s="120">
        <f>'1- DM SP CHUẨN'!G25</f>
        <v>0</v>
      </c>
      <c r="E24" s="121">
        <f t="shared" si="0"/>
        <v>0</v>
      </c>
      <c r="F24" s="187"/>
      <c r="G24" s="189"/>
      <c r="H24" s="121">
        <f t="shared" si="1"/>
        <v>0</v>
      </c>
      <c r="I24" s="124">
        <f t="shared" si="2"/>
        <v>0</v>
      </c>
      <c r="J24" s="11"/>
      <c r="K24" s="11"/>
      <c r="L24" s="11"/>
      <c r="M24" s="11"/>
      <c r="N24" s="11"/>
      <c r="O24" s="11"/>
      <c r="P24" s="11"/>
      <c r="Q24" s="11"/>
    </row>
    <row r="25" spans="1:17" ht="15.6" x14ac:dyDescent="0.3">
      <c r="A25" s="107">
        <v>19</v>
      </c>
      <c r="B25" s="111">
        <f>'1- DM SP CHUẨN'!B26</f>
        <v>0</v>
      </c>
      <c r="C25" s="119">
        <f>'1- DM SP CHUẨN'!F26</f>
        <v>0</v>
      </c>
      <c r="D25" s="120">
        <f>'1- DM SP CHUẨN'!G26</f>
        <v>0</v>
      </c>
      <c r="E25" s="121">
        <f t="shared" si="0"/>
        <v>0</v>
      </c>
      <c r="F25" s="187"/>
      <c r="G25" s="189"/>
      <c r="H25" s="121">
        <f t="shared" si="1"/>
        <v>0</v>
      </c>
      <c r="I25" s="124">
        <f t="shared" si="2"/>
        <v>0</v>
      </c>
      <c r="J25" s="11"/>
      <c r="K25" s="11"/>
      <c r="L25" s="11"/>
      <c r="M25" s="11"/>
      <c r="N25" s="11"/>
      <c r="O25" s="11"/>
      <c r="P25" s="11"/>
      <c r="Q25" s="11"/>
    </row>
    <row r="26" spans="1:17" ht="15.6" x14ac:dyDescent="0.3">
      <c r="A26" s="107">
        <v>20</v>
      </c>
      <c r="B26" s="111">
        <f>'1- DM SP CHUẨN'!B27</f>
        <v>0</v>
      </c>
      <c r="C26" s="119">
        <f>'1- DM SP CHUẨN'!F27</f>
        <v>0</v>
      </c>
      <c r="D26" s="120">
        <f>'1- DM SP CHUẨN'!G27</f>
        <v>0</v>
      </c>
      <c r="E26" s="121">
        <f t="shared" si="0"/>
        <v>0</v>
      </c>
      <c r="F26" s="187"/>
      <c r="G26" s="189"/>
      <c r="H26" s="121">
        <f t="shared" si="1"/>
        <v>0</v>
      </c>
      <c r="I26" s="124">
        <f t="shared" si="2"/>
        <v>0</v>
      </c>
      <c r="J26" s="11"/>
      <c r="K26" s="11"/>
      <c r="L26" s="11"/>
      <c r="M26" s="11"/>
      <c r="N26" s="11"/>
      <c r="O26" s="11"/>
      <c r="P26" s="11"/>
      <c r="Q26" s="11"/>
    </row>
    <row r="27" spans="1:17" ht="15.6" x14ac:dyDescent="0.3">
      <c r="A27" s="107">
        <v>21</v>
      </c>
      <c r="B27" s="111">
        <f>'1- DM SP CHUẨN'!B28</f>
        <v>0</v>
      </c>
      <c r="C27" s="119">
        <f>'1- DM SP CHUẨN'!F28</f>
        <v>0</v>
      </c>
      <c r="D27" s="120">
        <f>'1- DM SP CHUẨN'!G28</f>
        <v>0</v>
      </c>
      <c r="E27" s="121">
        <f t="shared" si="0"/>
        <v>0</v>
      </c>
      <c r="F27" s="187"/>
      <c r="G27" s="189"/>
      <c r="H27" s="121">
        <f t="shared" si="1"/>
        <v>0</v>
      </c>
      <c r="I27" s="124">
        <f t="shared" si="2"/>
        <v>0</v>
      </c>
      <c r="J27" s="11"/>
      <c r="K27" s="11"/>
      <c r="L27" s="11"/>
      <c r="M27" s="11"/>
      <c r="N27" s="11"/>
      <c r="O27" s="11"/>
      <c r="P27" s="11"/>
      <c r="Q27" s="11"/>
    </row>
    <row r="28" spans="1:17" ht="15.6" x14ac:dyDescent="0.3">
      <c r="A28" s="107">
        <v>22</v>
      </c>
      <c r="B28" s="111">
        <f>'1- DM SP CHUẨN'!B29</f>
        <v>0</v>
      </c>
      <c r="C28" s="119">
        <f>'1- DM SP CHUẨN'!F29</f>
        <v>0</v>
      </c>
      <c r="D28" s="120">
        <f>'1- DM SP CHUẨN'!G29</f>
        <v>0</v>
      </c>
      <c r="E28" s="121">
        <f t="shared" si="0"/>
        <v>0</v>
      </c>
      <c r="F28" s="187"/>
      <c r="G28" s="189"/>
      <c r="H28" s="121">
        <f t="shared" si="1"/>
        <v>0</v>
      </c>
      <c r="I28" s="124">
        <f t="shared" si="2"/>
        <v>0</v>
      </c>
      <c r="J28" s="11"/>
      <c r="K28" s="11"/>
      <c r="L28" s="11"/>
      <c r="M28" s="11"/>
      <c r="N28" s="11"/>
      <c r="O28" s="11"/>
      <c r="P28" s="11"/>
      <c r="Q28" s="11"/>
    </row>
    <row r="29" spans="1:17" ht="15.6" x14ac:dyDescent="0.3">
      <c r="A29" s="107">
        <v>23</v>
      </c>
      <c r="B29" s="111">
        <f>'1- DM SP CHUẨN'!B30</f>
        <v>0</v>
      </c>
      <c r="C29" s="119">
        <f>'1- DM SP CHUẨN'!F30</f>
        <v>0</v>
      </c>
      <c r="D29" s="120">
        <f>'1- DM SP CHUẨN'!G30</f>
        <v>0</v>
      </c>
      <c r="E29" s="121">
        <f t="shared" si="0"/>
        <v>0</v>
      </c>
      <c r="F29" s="187"/>
      <c r="G29" s="189"/>
      <c r="H29" s="121">
        <f t="shared" si="1"/>
        <v>0</v>
      </c>
      <c r="I29" s="124">
        <f t="shared" si="2"/>
        <v>0</v>
      </c>
      <c r="J29" s="11"/>
      <c r="K29" s="11"/>
      <c r="L29" s="11"/>
      <c r="M29" s="11"/>
      <c r="N29" s="11"/>
      <c r="O29" s="11"/>
      <c r="P29" s="11"/>
      <c r="Q29" s="11"/>
    </row>
    <row r="30" spans="1:17" ht="15.6" x14ac:dyDescent="0.3">
      <c r="A30" s="107">
        <v>24</v>
      </c>
      <c r="B30" s="111">
        <f>'1- DM SP CHUẨN'!B31</f>
        <v>0</v>
      </c>
      <c r="C30" s="119">
        <f>'1- DM SP CHUẨN'!F31</f>
        <v>0</v>
      </c>
      <c r="D30" s="120">
        <f>'1- DM SP CHUẨN'!G31</f>
        <v>0</v>
      </c>
      <c r="E30" s="121">
        <f t="shared" si="0"/>
        <v>0</v>
      </c>
      <c r="F30" s="187"/>
      <c r="G30" s="189"/>
      <c r="H30" s="121">
        <f t="shared" si="1"/>
        <v>0</v>
      </c>
      <c r="I30" s="124">
        <f t="shared" si="2"/>
        <v>0</v>
      </c>
      <c r="J30" s="11"/>
      <c r="K30" s="11"/>
      <c r="L30" s="11"/>
      <c r="M30" s="11"/>
      <c r="N30" s="11"/>
      <c r="O30" s="11"/>
      <c r="P30" s="11"/>
      <c r="Q30" s="11"/>
    </row>
    <row r="31" spans="1:17" ht="15.6" x14ac:dyDescent="0.3">
      <c r="A31" s="107">
        <v>25</v>
      </c>
      <c r="B31" s="111">
        <f>'1- DM SP CHUẨN'!B32</f>
        <v>0</v>
      </c>
      <c r="C31" s="119">
        <f>'1- DM SP CHUẨN'!F32</f>
        <v>0</v>
      </c>
      <c r="D31" s="120">
        <f>'1- DM SP CHUẨN'!G32</f>
        <v>0</v>
      </c>
      <c r="E31" s="121">
        <f t="shared" si="0"/>
        <v>0</v>
      </c>
      <c r="F31" s="187"/>
      <c r="G31" s="189"/>
      <c r="H31" s="121">
        <f t="shared" si="1"/>
        <v>0</v>
      </c>
      <c r="I31" s="124">
        <f t="shared" si="2"/>
        <v>0</v>
      </c>
      <c r="J31" s="11"/>
      <c r="K31" s="11"/>
      <c r="L31" s="11"/>
      <c r="M31" s="11"/>
      <c r="N31" s="11"/>
      <c r="O31" s="11"/>
      <c r="P31" s="11"/>
      <c r="Q31" s="11"/>
    </row>
    <row r="32" spans="1:17" ht="15.6" x14ac:dyDescent="0.3">
      <c r="A32" s="107">
        <v>26</v>
      </c>
      <c r="B32" s="111">
        <f>'1- DM SP CHUẨN'!B33</f>
        <v>0</v>
      </c>
      <c r="C32" s="119">
        <f>'1- DM SP CHUẨN'!F33</f>
        <v>0</v>
      </c>
      <c r="D32" s="120">
        <f>'1- DM SP CHUẨN'!G33</f>
        <v>0</v>
      </c>
      <c r="E32" s="121">
        <f t="shared" si="0"/>
        <v>0</v>
      </c>
      <c r="F32" s="187"/>
      <c r="G32" s="189"/>
      <c r="H32" s="121">
        <f t="shared" si="1"/>
        <v>0</v>
      </c>
      <c r="I32" s="124">
        <f t="shared" si="2"/>
        <v>0</v>
      </c>
      <c r="J32" s="11"/>
      <c r="K32" s="11"/>
      <c r="L32" s="11"/>
      <c r="M32" s="11"/>
      <c r="N32" s="11"/>
      <c r="O32" s="11"/>
      <c r="P32" s="11"/>
      <c r="Q32" s="11"/>
    </row>
    <row r="33" spans="1:17" ht="15.6" x14ac:dyDescent="0.3">
      <c r="A33" s="107">
        <v>27</v>
      </c>
      <c r="B33" s="111">
        <f>'1- DM SP CHUẨN'!B34</f>
        <v>0</v>
      </c>
      <c r="C33" s="119">
        <f>'1- DM SP CHUẨN'!F34</f>
        <v>0</v>
      </c>
      <c r="D33" s="120">
        <f>'1- DM SP CHUẨN'!G34</f>
        <v>0</v>
      </c>
      <c r="E33" s="121">
        <f t="shared" si="0"/>
        <v>0</v>
      </c>
      <c r="F33" s="187"/>
      <c r="G33" s="189"/>
      <c r="H33" s="121">
        <f t="shared" si="1"/>
        <v>0</v>
      </c>
      <c r="I33" s="124">
        <f t="shared" si="2"/>
        <v>0</v>
      </c>
      <c r="J33" s="11"/>
      <c r="K33" s="11"/>
      <c r="L33" s="11"/>
      <c r="M33" s="11"/>
      <c r="N33" s="11"/>
      <c r="O33" s="11"/>
      <c r="P33" s="11"/>
      <c r="Q33" s="11"/>
    </row>
    <row r="34" spans="1:17" ht="15.6" x14ac:dyDescent="0.3">
      <c r="A34" s="107">
        <v>28</v>
      </c>
      <c r="B34" s="111">
        <f>'1- DM SP CHUẨN'!B35</f>
        <v>0</v>
      </c>
      <c r="C34" s="119">
        <f>'1- DM SP CHUẨN'!F35</f>
        <v>0</v>
      </c>
      <c r="D34" s="120">
        <f>'1- DM SP CHUẨN'!G35</f>
        <v>0</v>
      </c>
      <c r="E34" s="121">
        <f t="shared" si="0"/>
        <v>0</v>
      </c>
      <c r="F34" s="187"/>
      <c r="G34" s="189"/>
      <c r="H34" s="121">
        <f t="shared" si="1"/>
        <v>0</v>
      </c>
      <c r="I34" s="124">
        <f t="shared" si="2"/>
        <v>0</v>
      </c>
      <c r="J34" s="11"/>
      <c r="K34" s="11"/>
      <c r="L34" s="11"/>
      <c r="M34" s="11"/>
      <c r="N34" s="11"/>
      <c r="O34" s="11"/>
      <c r="P34" s="11"/>
      <c r="Q34" s="11"/>
    </row>
    <row r="35" spans="1:17" ht="15.6" x14ac:dyDescent="0.3">
      <c r="A35" s="107">
        <v>29</v>
      </c>
      <c r="B35" s="111">
        <f>'1- DM SP CHUẨN'!B36</f>
        <v>0</v>
      </c>
      <c r="C35" s="119">
        <f>'1- DM SP CHUẨN'!F36</f>
        <v>0</v>
      </c>
      <c r="D35" s="120">
        <f>'1- DM SP CHUẨN'!G36</f>
        <v>0</v>
      </c>
      <c r="E35" s="121">
        <f t="shared" si="0"/>
        <v>0</v>
      </c>
      <c r="F35" s="187"/>
      <c r="G35" s="189"/>
      <c r="H35" s="121">
        <f t="shared" si="1"/>
        <v>0</v>
      </c>
      <c r="I35" s="124">
        <f t="shared" si="2"/>
        <v>0</v>
      </c>
      <c r="J35" s="11"/>
      <c r="K35" s="11"/>
      <c r="L35" s="11"/>
      <c r="M35" s="11"/>
      <c r="N35" s="11"/>
      <c r="O35" s="11"/>
      <c r="P35" s="11"/>
      <c r="Q35" s="11"/>
    </row>
    <row r="36" spans="1:17" ht="15.6" x14ac:dyDescent="0.3">
      <c r="A36" s="107">
        <v>30</v>
      </c>
      <c r="B36" s="111">
        <f>'1- DM SP CHUẨN'!B37</f>
        <v>0</v>
      </c>
      <c r="C36" s="119">
        <f>'1- DM SP CHUẨN'!F37</f>
        <v>0</v>
      </c>
      <c r="D36" s="120">
        <f>'1- DM SP CHUẨN'!G37</f>
        <v>0</v>
      </c>
      <c r="E36" s="121">
        <f t="shared" si="0"/>
        <v>0</v>
      </c>
      <c r="F36" s="187"/>
      <c r="G36" s="189"/>
      <c r="H36" s="121">
        <f t="shared" si="1"/>
        <v>0</v>
      </c>
      <c r="I36" s="124">
        <f t="shared" si="2"/>
        <v>0</v>
      </c>
      <c r="J36" s="11"/>
      <c r="K36" s="11"/>
      <c r="L36" s="11"/>
      <c r="M36" s="11"/>
      <c r="N36" s="11"/>
      <c r="O36" s="11"/>
      <c r="P36" s="11"/>
      <c r="Q36" s="11"/>
    </row>
    <row r="37" spans="1:17" ht="15.6" x14ac:dyDescent="0.3">
      <c r="A37" s="107">
        <v>31</v>
      </c>
      <c r="B37" s="111">
        <f>'1- DM SP CHUẨN'!B38</f>
        <v>0</v>
      </c>
      <c r="C37" s="119">
        <f>'1- DM SP CHUẨN'!F38</f>
        <v>0</v>
      </c>
      <c r="D37" s="120">
        <f>'1- DM SP CHUẨN'!G38</f>
        <v>0</v>
      </c>
      <c r="E37" s="121">
        <f t="shared" si="0"/>
        <v>0</v>
      </c>
      <c r="F37" s="187"/>
      <c r="G37" s="189"/>
      <c r="H37" s="121">
        <f t="shared" si="1"/>
        <v>0</v>
      </c>
      <c r="I37" s="124">
        <f t="shared" si="2"/>
        <v>0</v>
      </c>
      <c r="J37" s="11"/>
      <c r="K37" s="11"/>
      <c r="L37" s="11"/>
      <c r="M37" s="11"/>
      <c r="N37" s="11"/>
      <c r="O37" s="11"/>
      <c r="P37" s="11"/>
      <c r="Q37" s="11"/>
    </row>
    <row r="38" spans="1:17" ht="15.6" x14ac:dyDescent="0.3">
      <c r="A38" s="107">
        <v>32</v>
      </c>
      <c r="B38" s="111">
        <f>'1- DM SP CHUẨN'!B39</f>
        <v>0</v>
      </c>
      <c r="C38" s="119">
        <f>'1- DM SP CHUẨN'!F39</f>
        <v>0</v>
      </c>
      <c r="D38" s="120">
        <f>'1- DM SP CHUẨN'!G39</f>
        <v>0</v>
      </c>
      <c r="E38" s="121">
        <f t="shared" si="0"/>
        <v>0</v>
      </c>
      <c r="F38" s="187"/>
      <c r="G38" s="189"/>
      <c r="H38" s="121">
        <f t="shared" si="1"/>
        <v>0</v>
      </c>
      <c r="I38" s="124">
        <f t="shared" si="2"/>
        <v>0</v>
      </c>
      <c r="J38" s="11"/>
      <c r="K38" s="11"/>
      <c r="L38" s="11"/>
      <c r="M38" s="11"/>
      <c r="N38" s="11"/>
      <c r="O38" s="11"/>
      <c r="P38" s="11"/>
      <c r="Q38" s="11"/>
    </row>
    <row r="39" spans="1:17" ht="15.6" x14ac:dyDescent="0.3">
      <c r="A39" s="107">
        <v>33</v>
      </c>
      <c r="B39" s="111">
        <f>'1- DM SP CHUẨN'!B40</f>
        <v>0</v>
      </c>
      <c r="C39" s="119">
        <f>'1- DM SP CHUẨN'!F40</f>
        <v>0</v>
      </c>
      <c r="D39" s="120">
        <f>'1- DM SP CHUẨN'!G40</f>
        <v>0</v>
      </c>
      <c r="E39" s="121">
        <f t="shared" si="0"/>
        <v>0</v>
      </c>
      <c r="F39" s="187"/>
      <c r="G39" s="189"/>
      <c r="H39" s="121">
        <f t="shared" si="1"/>
        <v>0</v>
      </c>
      <c r="I39" s="124">
        <f t="shared" si="2"/>
        <v>0</v>
      </c>
      <c r="J39" s="11"/>
      <c r="K39" s="11"/>
      <c r="L39" s="11"/>
      <c r="M39" s="11"/>
      <c r="N39" s="11"/>
      <c r="O39" s="11"/>
      <c r="P39" s="11"/>
      <c r="Q39" s="11"/>
    </row>
    <row r="40" spans="1:17" ht="15.6" x14ac:dyDescent="0.3">
      <c r="A40" s="107">
        <v>34</v>
      </c>
      <c r="B40" s="111">
        <f>'1- DM SP CHUẨN'!B41</f>
        <v>0</v>
      </c>
      <c r="C40" s="119">
        <f>'1- DM SP CHUẨN'!F41</f>
        <v>0</v>
      </c>
      <c r="D40" s="120">
        <f>'1- DM SP CHUẨN'!G41</f>
        <v>0</v>
      </c>
      <c r="E40" s="121">
        <f t="shared" si="0"/>
        <v>0</v>
      </c>
      <c r="F40" s="187"/>
      <c r="G40" s="189"/>
      <c r="H40" s="121">
        <f t="shared" si="1"/>
        <v>0</v>
      </c>
      <c r="I40" s="124">
        <f t="shared" si="2"/>
        <v>0</v>
      </c>
      <c r="J40" s="11"/>
      <c r="K40" s="11"/>
      <c r="L40" s="11"/>
      <c r="M40" s="11"/>
      <c r="N40" s="11"/>
      <c r="O40" s="11"/>
      <c r="P40" s="11"/>
      <c r="Q40" s="11"/>
    </row>
    <row r="41" spans="1:17" ht="15.6" x14ac:dyDescent="0.3">
      <c r="A41" s="107">
        <v>35</v>
      </c>
      <c r="B41" s="111">
        <f>'1- DM SP CHUẨN'!B42</f>
        <v>0</v>
      </c>
      <c r="C41" s="119">
        <f>'1- DM SP CHUẨN'!F42</f>
        <v>0</v>
      </c>
      <c r="D41" s="120">
        <f>'1- DM SP CHUẨN'!G42</f>
        <v>0</v>
      </c>
      <c r="E41" s="121">
        <f t="shared" si="0"/>
        <v>0</v>
      </c>
      <c r="F41" s="187"/>
      <c r="G41" s="189"/>
      <c r="H41" s="121">
        <f t="shared" si="1"/>
        <v>0</v>
      </c>
      <c r="I41" s="124">
        <f t="shared" si="2"/>
        <v>0</v>
      </c>
      <c r="J41" s="11"/>
      <c r="K41" s="11"/>
      <c r="L41" s="11"/>
      <c r="M41" s="11"/>
      <c r="N41" s="11"/>
      <c r="O41" s="11"/>
      <c r="P41" s="11"/>
      <c r="Q41" s="11"/>
    </row>
    <row r="42" spans="1:17" ht="15.6" x14ac:dyDescent="0.3">
      <c r="A42" s="107">
        <v>36</v>
      </c>
      <c r="B42" s="111">
        <f>'1- DM SP CHUẨN'!B43</f>
        <v>0</v>
      </c>
      <c r="C42" s="119">
        <f>'1- DM SP CHUẨN'!F43</f>
        <v>0</v>
      </c>
      <c r="D42" s="120">
        <f>'1- DM SP CHUẨN'!G43</f>
        <v>0</v>
      </c>
      <c r="E42" s="121">
        <f t="shared" si="0"/>
        <v>0</v>
      </c>
      <c r="F42" s="187"/>
      <c r="G42" s="189"/>
      <c r="H42" s="121">
        <f t="shared" si="1"/>
        <v>0</v>
      </c>
      <c r="I42" s="124">
        <f t="shared" si="2"/>
        <v>0</v>
      </c>
      <c r="J42" s="11"/>
      <c r="K42" s="11"/>
      <c r="L42" s="11"/>
      <c r="M42" s="11"/>
      <c r="N42" s="11"/>
      <c r="O42" s="11"/>
      <c r="P42" s="11"/>
      <c r="Q42" s="11"/>
    </row>
    <row r="43" spans="1:17" ht="15.6" x14ac:dyDescent="0.3">
      <c r="A43" s="107">
        <v>37</v>
      </c>
      <c r="B43" s="111">
        <f>'1- DM SP CHUẨN'!B44</f>
        <v>0</v>
      </c>
      <c r="C43" s="119">
        <f>'1- DM SP CHUẨN'!F44</f>
        <v>0</v>
      </c>
      <c r="D43" s="120">
        <f>'1- DM SP CHUẨN'!G44</f>
        <v>0</v>
      </c>
      <c r="E43" s="121">
        <f t="shared" si="0"/>
        <v>0</v>
      </c>
      <c r="F43" s="187"/>
      <c r="G43" s="189"/>
      <c r="H43" s="121">
        <f t="shared" si="1"/>
        <v>0</v>
      </c>
      <c r="I43" s="124">
        <f t="shared" si="2"/>
        <v>0</v>
      </c>
      <c r="J43" s="11"/>
      <c r="K43" s="11"/>
      <c r="L43" s="11"/>
      <c r="M43" s="11"/>
      <c r="N43" s="11"/>
      <c r="O43" s="11"/>
      <c r="P43" s="11"/>
      <c r="Q43" s="11"/>
    </row>
    <row r="44" spans="1:17" ht="15.6" x14ac:dyDescent="0.3">
      <c r="A44" s="107">
        <v>38</v>
      </c>
      <c r="B44" s="111">
        <f>'1- DM SP CHUẨN'!B45</f>
        <v>0</v>
      </c>
      <c r="C44" s="119">
        <f>'1- DM SP CHUẨN'!F45</f>
        <v>0</v>
      </c>
      <c r="D44" s="120">
        <f>'1- DM SP CHUẨN'!G45</f>
        <v>0</v>
      </c>
      <c r="E44" s="121">
        <f t="shared" si="0"/>
        <v>0</v>
      </c>
      <c r="F44" s="187"/>
      <c r="G44" s="189"/>
      <c r="H44" s="121">
        <f t="shared" si="1"/>
        <v>0</v>
      </c>
      <c r="I44" s="124">
        <f t="shared" si="2"/>
        <v>0</v>
      </c>
      <c r="J44" s="11"/>
      <c r="K44" s="11"/>
      <c r="L44" s="11"/>
      <c r="M44" s="11"/>
      <c r="N44" s="11"/>
      <c r="O44" s="11"/>
      <c r="P44" s="11"/>
      <c r="Q44" s="11"/>
    </row>
    <row r="45" spans="1:17" ht="15.6" x14ac:dyDescent="0.3">
      <c r="A45" s="107">
        <v>39</v>
      </c>
      <c r="B45" s="111">
        <f>'1- DM SP CHUẨN'!B46</f>
        <v>0</v>
      </c>
      <c r="C45" s="119">
        <f>'1- DM SP CHUẨN'!F46</f>
        <v>0</v>
      </c>
      <c r="D45" s="120">
        <f>'1- DM SP CHUẨN'!G46</f>
        <v>0</v>
      </c>
      <c r="E45" s="121">
        <f t="shared" si="0"/>
        <v>0</v>
      </c>
      <c r="F45" s="187"/>
      <c r="G45" s="189"/>
      <c r="H45" s="121">
        <f t="shared" si="1"/>
        <v>0</v>
      </c>
      <c r="I45" s="124">
        <f t="shared" si="2"/>
        <v>0</v>
      </c>
      <c r="J45" s="11"/>
      <c r="K45" s="11"/>
      <c r="L45" s="11"/>
      <c r="M45" s="11"/>
      <c r="N45" s="11"/>
      <c r="O45" s="11"/>
      <c r="P45" s="11"/>
      <c r="Q45" s="11"/>
    </row>
    <row r="46" spans="1:17" ht="15.6" x14ac:dyDescent="0.3">
      <c r="A46" s="107">
        <v>40</v>
      </c>
      <c r="B46" s="111">
        <f>'1- DM SP CHUẨN'!B47</f>
        <v>0</v>
      </c>
      <c r="C46" s="119">
        <f>'1- DM SP CHUẨN'!F47</f>
        <v>0</v>
      </c>
      <c r="D46" s="120">
        <f>'1- DM SP CHUẨN'!G47</f>
        <v>0</v>
      </c>
      <c r="E46" s="121">
        <f t="shared" si="0"/>
        <v>0</v>
      </c>
      <c r="F46" s="187"/>
      <c r="G46" s="189"/>
      <c r="H46" s="121">
        <f t="shared" si="1"/>
        <v>0</v>
      </c>
      <c r="I46" s="124">
        <f t="shared" si="2"/>
        <v>0</v>
      </c>
      <c r="J46" s="11"/>
      <c r="K46" s="11"/>
      <c r="L46" s="11"/>
      <c r="M46" s="11"/>
      <c r="N46" s="11"/>
      <c r="O46" s="11"/>
      <c r="P46" s="11"/>
      <c r="Q46" s="11"/>
    </row>
    <row r="47" spans="1:17" ht="31.2" x14ac:dyDescent="0.3">
      <c r="A47" s="106" t="s">
        <v>345</v>
      </c>
      <c r="B47" s="158" t="s">
        <v>352</v>
      </c>
      <c r="C47" s="119"/>
      <c r="D47" s="120"/>
      <c r="E47" s="121"/>
      <c r="F47" s="122"/>
      <c r="G47" s="123"/>
      <c r="H47" s="121"/>
      <c r="I47" s="124"/>
      <c r="J47" s="11"/>
      <c r="K47" s="11"/>
      <c r="L47" s="11"/>
      <c r="M47" s="11"/>
      <c r="N47" s="11"/>
      <c r="O47" s="11"/>
      <c r="P47" s="11"/>
      <c r="Q47" s="11"/>
    </row>
    <row r="48" spans="1:17" ht="15.6" x14ac:dyDescent="0.3">
      <c r="A48" s="106"/>
      <c r="B48" s="158"/>
      <c r="C48" s="119"/>
      <c r="D48" s="120"/>
      <c r="E48" s="121"/>
      <c r="F48" s="122"/>
      <c r="G48" s="123"/>
      <c r="H48" s="121"/>
      <c r="I48" s="124"/>
      <c r="J48" s="11"/>
      <c r="K48" s="11"/>
      <c r="L48" s="11"/>
      <c r="M48" s="11"/>
      <c r="N48" s="11"/>
      <c r="O48" s="11"/>
      <c r="P48" s="11"/>
      <c r="Q48" s="11"/>
    </row>
    <row r="49" spans="1:17" ht="25.5" customHeight="1" x14ac:dyDescent="0.3">
      <c r="A49" s="107">
        <v>1</v>
      </c>
      <c r="B49" s="111">
        <f>'1- DM SP CHUẨN'!B49</f>
        <v>0</v>
      </c>
      <c r="C49" s="107">
        <f>'1- DM SP CHUẨN'!F49</f>
        <v>0</v>
      </c>
      <c r="D49" s="120">
        <f>'1- DM SP CHUẨN'!G49</f>
        <v>0</v>
      </c>
      <c r="E49" s="121">
        <f t="shared" si="0"/>
        <v>0</v>
      </c>
      <c r="F49" s="187"/>
      <c r="G49" s="189"/>
      <c r="H49" s="121">
        <f t="shared" si="1"/>
        <v>0</v>
      </c>
      <c r="I49" s="124">
        <f t="shared" si="2"/>
        <v>0</v>
      </c>
      <c r="J49" s="11"/>
      <c r="K49" s="11"/>
      <c r="L49" s="11"/>
      <c r="M49" s="11"/>
      <c r="N49" s="11"/>
      <c r="O49" s="11"/>
      <c r="P49" s="11"/>
      <c r="Q49" s="11"/>
    </row>
    <row r="50" spans="1:17" ht="25.5" customHeight="1" x14ac:dyDescent="0.3">
      <c r="A50" s="107">
        <v>2</v>
      </c>
      <c r="B50" s="111">
        <f>'1- DM SP CHUẨN'!B50</f>
        <v>0</v>
      </c>
      <c r="C50" s="107">
        <f>'1- DM SP CHUẨN'!F50</f>
        <v>0</v>
      </c>
      <c r="D50" s="120">
        <f>'1- DM SP CHUẨN'!G50</f>
        <v>0</v>
      </c>
      <c r="E50" s="121">
        <f t="shared" si="0"/>
        <v>0</v>
      </c>
      <c r="F50" s="187"/>
      <c r="G50" s="189"/>
      <c r="H50" s="121">
        <f t="shared" si="1"/>
        <v>0</v>
      </c>
      <c r="I50" s="124">
        <f t="shared" si="2"/>
        <v>0</v>
      </c>
      <c r="J50" s="11"/>
      <c r="K50" s="11"/>
      <c r="L50" s="11"/>
      <c r="M50" s="11"/>
      <c r="N50" s="11"/>
      <c r="O50" s="11"/>
      <c r="P50" s="11"/>
      <c r="Q50" s="11"/>
    </row>
    <row r="51" spans="1:17" ht="25.5" customHeight="1" x14ac:dyDescent="0.3">
      <c r="A51" s="107">
        <v>3</v>
      </c>
      <c r="B51" s="111">
        <f>'1- DM SP CHUẨN'!B51</f>
        <v>0</v>
      </c>
      <c r="C51" s="107">
        <f>'1- DM SP CHUẨN'!F51</f>
        <v>0</v>
      </c>
      <c r="D51" s="120">
        <f>'1- DM SP CHUẨN'!G51</f>
        <v>0</v>
      </c>
      <c r="E51" s="121">
        <f t="shared" si="0"/>
        <v>0</v>
      </c>
      <c r="F51" s="187"/>
      <c r="G51" s="189"/>
      <c r="H51" s="121">
        <f t="shared" si="1"/>
        <v>0</v>
      </c>
      <c r="I51" s="124">
        <f t="shared" si="2"/>
        <v>0</v>
      </c>
      <c r="J51" s="11"/>
      <c r="K51" s="11"/>
      <c r="L51" s="11"/>
      <c r="M51" s="11"/>
      <c r="N51" s="11"/>
      <c r="O51" s="11"/>
      <c r="P51" s="11"/>
      <c r="Q51" s="11"/>
    </row>
    <row r="52" spans="1:17" ht="25.5" customHeight="1" x14ac:dyDescent="0.3">
      <c r="A52" s="107">
        <v>4</v>
      </c>
      <c r="B52" s="111">
        <f>'1- DM SP CHUẨN'!B52</f>
        <v>0</v>
      </c>
      <c r="C52" s="107">
        <f>'1- DM SP CHUẨN'!F52</f>
        <v>0</v>
      </c>
      <c r="D52" s="120">
        <f>'1- DM SP CHUẨN'!G52</f>
        <v>0</v>
      </c>
      <c r="E52" s="121">
        <f t="shared" si="0"/>
        <v>0</v>
      </c>
      <c r="F52" s="187"/>
      <c r="G52" s="189"/>
      <c r="H52" s="121">
        <f t="shared" si="1"/>
        <v>0</v>
      </c>
      <c r="I52" s="124">
        <f t="shared" si="2"/>
        <v>0</v>
      </c>
      <c r="J52" s="11"/>
      <c r="K52" s="11"/>
      <c r="L52" s="11"/>
      <c r="M52" s="11"/>
      <c r="N52" s="11"/>
      <c r="O52" s="11"/>
      <c r="P52" s="11"/>
      <c r="Q52" s="11"/>
    </row>
    <row r="53" spans="1:17" s="109" customFormat="1" ht="28.5" customHeight="1" x14ac:dyDescent="0.3">
      <c r="A53" s="107">
        <v>5</v>
      </c>
      <c r="B53" s="111">
        <f>'1- DM SP CHUẨN'!B53</f>
        <v>0</v>
      </c>
      <c r="C53" s="107">
        <f>'1- DM SP CHUẨN'!F53</f>
        <v>0</v>
      </c>
      <c r="D53" s="120">
        <f>'1- DM SP CHUẨN'!G53</f>
        <v>0</v>
      </c>
      <c r="E53" s="121">
        <f t="shared" si="0"/>
        <v>0</v>
      </c>
      <c r="F53" s="187"/>
      <c r="G53" s="189"/>
      <c r="H53" s="121">
        <f t="shared" si="1"/>
        <v>0</v>
      </c>
      <c r="I53" s="124">
        <f t="shared" si="2"/>
        <v>0</v>
      </c>
      <c r="J53" s="113"/>
      <c r="K53" s="113"/>
      <c r="L53" s="113"/>
      <c r="M53" s="113"/>
      <c r="N53" s="113"/>
      <c r="O53" s="113"/>
      <c r="P53" s="113"/>
      <c r="Q53" s="113"/>
    </row>
    <row r="54" spans="1:17" s="109" customFormat="1" ht="28.5" customHeight="1" x14ac:dyDescent="0.3">
      <c r="A54" s="106" t="s">
        <v>14</v>
      </c>
      <c r="B54" s="152" t="s">
        <v>353</v>
      </c>
      <c r="C54" s="119"/>
      <c r="D54" s="120"/>
      <c r="E54" s="121"/>
      <c r="F54" s="122"/>
      <c r="G54" s="123"/>
      <c r="H54" s="121"/>
      <c r="I54" s="124"/>
      <c r="J54" s="113"/>
      <c r="K54" s="113"/>
      <c r="L54" s="113"/>
      <c r="M54" s="113"/>
      <c r="N54" s="113"/>
      <c r="O54" s="113"/>
      <c r="P54" s="113"/>
      <c r="Q54" s="113"/>
    </row>
    <row r="55" spans="1:17" s="109" customFormat="1" ht="15.6" x14ac:dyDescent="0.3">
      <c r="A55" s="107">
        <v>1</v>
      </c>
      <c r="B55" s="111">
        <f>'1- DM SP CHUẨN'!B55</f>
        <v>0</v>
      </c>
      <c r="C55" s="119">
        <f>'1- DM SP CHUẨN'!F55</f>
        <v>0</v>
      </c>
      <c r="D55" s="120">
        <f>'1- DM SP CHUẨN'!G55</f>
        <v>0</v>
      </c>
      <c r="E55" s="121">
        <f t="shared" ref="E55:E77" si="3">C55*D55</f>
        <v>0</v>
      </c>
      <c r="F55" s="187"/>
      <c r="G55" s="189"/>
      <c r="H55" s="121">
        <f t="shared" ref="H55:H77" si="4">C55*(30%*F55+70%*G55)</f>
        <v>0</v>
      </c>
      <c r="I55" s="124">
        <f t="shared" ref="I55:I77" si="5">H55*D55</f>
        <v>0</v>
      </c>
      <c r="J55" s="113"/>
      <c r="K55" s="113"/>
      <c r="L55" s="113"/>
      <c r="M55" s="113"/>
      <c r="N55" s="113"/>
      <c r="O55" s="113"/>
      <c r="P55" s="113"/>
      <c r="Q55" s="113"/>
    </row>
    <row r="56" spans="1:17" s="109" customFormat="1" ht="15.6" x14ac:dyDescent="0.3">
      <c r="A56" s="107">
        <v>2</v>
      </c>
      <c r="B56" s="111">
        <f>'1- DM SP CHUẨN'!B56</f>
        <v>0</v>
      </c>
      <c r="C56" s="119">
        <f>'1- DM SP CHUẨN'!F56</f>
        <v>0</v>
      </c>
      <c r="D56" s="120">
        <f>'1- DM SP CHUẨN'!G56</f>
        <v>0</v>
      </c>
      <c r="E56" s="121">
        <f t="shared" si="3"/>
        <v>0</v>
      </c>
      <c r="F56" s="187"/>
      <c r="G56" s="189"/>
      <c r="H56" s="121">
        <f t="shared" si="4"/>
        <v>0</v>
      </c>
      <c r="I56" s="124">
        <f t="shared" si="5"/>
        <v>0</v>
      </c>
      <c r="J56" s="113"/>
      <c r="K56" s="113"/>
      <c r="L56" s="113"/>
      <c r="M56" s="113"/>
      <c r="N56" s="113"/>
      <c r="O56" s="113"/>
      <c r="P56" s="113"/>
      <c r="Q56" s="113"/>
    </row>
    <row r="57" spans="1:17" s="109" customFormat="1" ht="15.6" x14ac:dyDescent="0.3">
      <c r="A57" s="107">
        <v>3</v>
      </c>
      <c r="B57" s="111">
        <f>'1- DM SP CHUẨN'!B57</f>
        <v>0</v>
      </c>
      <c r="C57" s="119">
        <f>'1- DM SP CHUẨN'!F57</f>
        <v>0</v>
      </c>
      <c r="D57" s="120">
        <f>'1- DM SP CHUẨN'!G57</f>
        <v>0</v>
      </c>
      <c r="E57" s="121">
        <f t="shared" si="3"/>
        <v>0</v>
      </c>
      <c r="F57" s="187"/>
      <c r="G57" s="189"/>
      <c r="H57" s="121">
        <f t="shared" si="4"/>
        <v>0</v>
      </c>
      <c r="I57" s="124">
        <f t="shared" si="5"/>
        <v>0</v>
      </c>
      <c r="J57" s="113"/>
      <c r="K57" s="113"/>
      <c r="L57" s="113"/>
      <c r="M57" s="113"/>
      <c r="N57" s="113"/>
      <c r="O57" s="113"/>
      <c r="P57" s="113"/>
      <c r="Q57" s="113"/>
    </row>
    <row r="58" spans="1:17" s="109" customFormat="1" ht="15.6" x14ac:dyDescent="0.3">
      <c r="A58" s="107">
        <v>4</v>
      </c>
      <c r="B58" s="111">
        <f>'1- DM SP CHUẨN'!B58</f>
        <v>0</v>
      </c>
      <c r="C58" s="119">
        <f>'1- DM SP CHUẨN'!F58</f>
        <v>0</v>
      </c>
      <c r="D58" s="120">
        <f>'1- DM SP CHUẨN'!G58</f>
        <v>0</v>
      </c>
      <c r="E58" s="121">
        <f t="shared" si="3"/>
        <v>0</v>
      </c>
      <c r="F58" s="187"/>
      <c r="G58" s="189"/>
      <c r="H58" s="121">
        <f t="shared" si="4"/>
        <v>0</v>
      </c>
      <c r="I58" s="124">
        <f t="shared" si="5"/>
        <v>0</v>
      </c>
      <c r="J58" s="113"/>
      <c r="K58" s="113"/>
      <c r="L58" s="113"/>
      <c r="M58" s="113"/>
      <c r="N58" s="113"/>
      <c r="O58" s="113"/>
      <c r="P58" s="113"/>
      <c r="Q58" s="113"/>
    </row>
    <row r="59" spans="1:17" s="109" customFormat="1" ht="15.6" x14ac:dyDescent="0.3">
      <c r="A59" s="107">
        <v>5</v>
      </c>
      <c r="B59" s="111">
        <f>'1- DM SP CHUẨN'!B59</f>
        <v>0</v>
      </c>
      <c r="C59" s="119">
        <f>'1- DM SP CHUẨN'!F59</f>
        <v>0</v>
      </c>
      <c r="D59" s="120">
        <f>'1- DM SP CHUẨN'!G59</f>
        <v>0</v>
      </c>
      <c r="E59" s="121">
        <f t="shared" si="3"/>
        <v>0</v>
      </c>
      <c r="F59" s="187"/>
      <c r="G59" s="189"/>
      <c r="H59" s="121">
        <f t="shared" si="4"/>
        <v>0</v>
      </c>
      <c r="I59" s="124">
        <f t="shared" si="5"/>
        <v>0</v>
      </c>
      <c r="J59" s="113"/>
      <c r="K59" s="113"/>
      <c r="L59" s="113"/>
      <c r="M59" s="113"/>
      <c r="N59" s="113"/>
      <c r="O59" s="113"/>
      <c r="P59" s="113"/>
      <c r="Q59" s="113"/>
    </row>
    <row r="60" spans="1:17" ht="46.8" x14ac:dyDescent="0.3">
      <c r="A60" s="106" t="s">
        <v>16</v>
      </c>
      <c r="B60" s="152" t="s">
        <v>354</v>
      </c>
      <c r="C60" s="119"/>
      <c r="D60" s="120"/>
      <c r="E60" s="121"/>
      <c r="F60" s="122"/>
      <c r="G60" s="123"/>
      <c r="H60" s="121"/>
      <c r="I60" s="124"/>
      <c r="J60" s="11"/>
      <c r="K60" s="11"/>
      <c r="L60" s="11"/>
      <c r="M60" s="11"/>
      <c r="N60" s="11"/>
      <c r="O60" s="11"/>
      <c r="P60" s="11"/>
      <c r="Q60" s="11"/>
    </row>
    <row r="61" spans="1:17" s="109" customFormat="1" ht="30" customHeight="1" x14ac:dyDescent="0.3">
      <c r="A61" s="107">
        <v>1</v>
      </c>
      <c r="B61" s="111">
        <f>'1- DM SP CHUẨN'!B61</f>
        <v>0</v>
      </c>
      <c r="C61" s="119">
        <f>'1- DM SP CHUẨN'!F61</f>
        <v>0</v>
      </c>
      <c r="D61" s="120">
        <f>'1- DM SP CHUẨN'!G61</f>
        <v>0</v>
      </c>
      <c r="E61" s="121">
        <f t="shared" si="3"/>
        <v>0</v>
      </c>
      <c r="F61" s="187"/>
      <c r="G61" s="189"/>
      <c r="H61" s="121">
        <f t="shared" si="4"/>
        <v>0</v>
      </c>
      <c r="I61" s="124">
        <f t="shared" si="5"/>
        <v>0</v>
      </c>
      <c r="J61" s="113"/>
      <c r="K61" s="113"/>
      <c r="L61" s="113"/>
      <c r="M61" s="113"/>
      <c r="N61" s="113"/>
      <c r="O61" s="113"/>
      <c r="P61" s="113"/>
      <c r="Q61" s="113"/>
    </row>
    <row r="62" spans="1:17" s="109" customFormat="1" ht="30" customHeight="1" x14ac:dyDescent="0.3">
      <c r="A62" s="107">
        <v>2</v>
      </c>
      <c r="B62" s="111">
        <f>'1- DM SP CHUẨN'!B62</f>
        <v>0</v>
      </c>
      <c r="C62" s="119">
        <f>'1- DM SP CHUẨN'!F62</f>
        <v>0</v>
      </c>
      <c r="D62" s="120">
        <f>'1- DM SP CHUẨN'!G62</f>
        <v>0</v>
      </c>
      <c r="E62" s="121">
        <f t="shared" si="3"/>
        <v>0</v>
      </c>
      <c r="F62" s="187"/>
      <c r="G62" s="189"/>
      <c r="H62" s="121">
        <f t="shared" si="4"/>
        <v>0</v>
      </c>
      <c r="I62" s="124">
        <f t="shared" si="5"/>
        <v>0</v>
      </c>
      <c r="J62" s="113"/>
      <c r="K62" s="113"/>
      <c r="L62" s="113"/>
      <c r="M62" s="113"/>
      <c r="N62" s="113"/>
      <c r="O62" s="113"/>
      <c r="P62" s="113"/>
      <c r="Q62" s="113"/>
    </row>
    <row r="63" spans="1:17" s="109" customFormat="1" ht="30" customHeight="1" x14ac:dyDescent="0.3">
      <c r="A63" s="107">
        <v>3</v>
      </c>
      <c r="B63" s="111">
        <f>'1- DM SP CHUẨN'!B63</f>
        <v>0</v>
      </c>
      <c r="C63" s="119">
        <f>'1- DM SP CHUẨN'!F63</f>
        <v>0</v>
      </c>
      <c r="D63" s="120">
        <f>'1- DM SP CHUẨN'!G63</f>
        <v>0</v>
      </c>
      <c r="E63" s="121">
        <f t="shared" si="3"/>
        <v>0</v>
      </c>
      <c r="F63" s="187"/>
      <c r="G63" s="189"/>
      <c r="H63" s="121">
        <f t="shared" si="4"/>
        <v>0</v>
      </c>
      <c r="I63" s="124">
        <f t="shared" si="5"/>
        <v>0</v>
      </c>
      <c r="J63" s="113"/>
      <c r="K63" s="113"/>
      <c r="L63" s="113"/>
      <c r="M63" s="113"/>
      <c r="N63" s="113"/>
      <c r="O63" s="113"/>
      <c r="P63" s="113"/>
      <c r="Q63" s="113"/>
    </row>
    <row r="64" spans="1:17" s="109" customFormat="1" ht="30" customHeight="1" x14ac:dyDescent="0.3">
      <c r="A64" s="107">
        <v>4</v>
      </c>
      <c r="B64" s="111">
        <f>'1- DM SP CHUẨN'!B64</f>
        <v>0</v>
      </c>
      <c r="C64" s="119">
        <f>'1- DM SP CHUẨN'!F64</f>
        <v>0</v>
      </c>
      <c r="D64" s="120">
        <f>'1- DM SP CHUẨN'!G64</f>
        <v>0</v>
      </c>
      <c r="E64" s="121">
        <f t="shared" si="3"/>
        <v>0</v>
      </c>
      <c r="F64" s="187"/>
      <c r="G64" s="189"/>
      <c r="H64" s="121">
        <f t="shared" si="4"/>
        <v>0</v>
      </c>
      <c r="I64" s="124">
        <f t="shared" si="5"/>
        <v>0</v>
      </c>
      <c r="J64" s="113"/>
      <c r="K64" s="113"/>
      <c r="L64" s="113"/>
      <c r="M64" s="113"/>
      <c r="N64" s="113"/>
      <c r="O64" s="113"/>
      <c r="P64" s="113"/>
      <c r="Q64" s="113"/>
    </row>
    <row r="65" spans="1:17" s="109" customFormat="1" ht="30" customHeight="1" x14ac:dyDescent="0.3">
      <c r="A65" s="107">
        <v>5</v>
      </c>
      <c r="B65" s="111">
        <f>'1- DM SP CHUẨN'!B65</f>
        <v>0</v>
      </c>
      <c r="C65" s="119">
        <f>'1- DM SP CHUẨN'!F65</f>
        <v>0</v>
      </c>
      <c r="D65" s="120">
        <f>'1- DM SP CHUẨN'!G65</f>
        <v>0</v>
      </c>
      <c r="E65" s="121">
        <f t="shared" si="3"/>
        <v>0</v>
      </c>
      <c r="F65" s="187"/>
      <c r="G65" s="189"/>
      <c r="H65" s="121">
        <f t="shared" si="4"/>
        <v>0</v>
      </c>
      <c r="I65" s="124">
        <f t="shared" si="5"/>
        <v>0</v>
      </c>
      <c r="J65" s="113"/>
      <c r="K65" s="113"/>
      <c r="L65" s="113"/>
      <c r="M65" s="113"/>
      <c r="N65" s="113"/>
      <c r="O65" s="113"/>
      <c r="P65" s="113"/>
      <c r="Q65" s="113"/>
    </row>
    <row r="66" spans="1:17" s="109" customFormat="1" ht="30" customHeight="1" x14ac:dyDescent="0.3">
      <c r="A66" s="151" t="s">
        <v>18</v>
      </c>
      <c r="B66" s="153" t="s">
        <v>355</v>
      </c>
      <c r="C66" s="119"/>
      <c r="D66" s="120"/>
      <c r="E66" s="121"/>
      <c r="F66" s="122"/>
      <c r="G66" s="123"/>
      <c r="H66" s="121"/>
      <c r="I66" s="124"/>
      <c r="J66" s="113"/>
      <c r="K66" s="113"/>
      <c r="L66" s="113"/>
      <c r="M66" s="113"/>
      <c r="N66" s="113"/>
      <c r="O66" s="113"/>
      <c r="P66" s="113"/>
      <c r="Q66" s="113"/>
    </row>
    <row r="67" spans="1:17" ht="64.5" customHeight="1" x14ac:dyDescent="0.3">
      <c r="A67" s="107">
        <v>1</v>
      </c>
      <c r="B67" s="111">
        <f>'1- DM SP CHUẨN'!B67</f>
        <v>0</v>
      </c>
      <c r="C67" s="119">
        <f>'1- DM SP CHUẨN'!F67</f>
        <v>0</v>
      </c>
      <c r="D67" s="120">
        <f>'1- DM SP CHUẨN'!G67</f>
        <v>0</v>
      </c>
      <c r="E67" s="121">
        <f t="shared" si="3"/>
        <v>0</v>
      </c>
      <c r="F67" s="187"/>
      <c r="G67" s="189"/>
      <c r="H67" s="121">
        <f t="shared" si="4"/>
        <v>0</v>
      </c>
      <c r="I67" s="124">
        <f t="shared" si="5"/>
        <v>0</v>
      </c>
      <c r="J67" s="11"/>
      <c r="K67" s="11"/>
      <c r="L67" s="11"/>
      <c r="M67" s="11"/>
      <c r="N67" s="11"/>
      <c r="O67" s="11"/>
      <c r="P67" s="11"/>
      <c r="Q67" s="11"/>
    </row>
    <row r="68" spans="1:17" ht="64.5" customHeight="1" x14ac:dyDescent="0.3">
      <c r="A68" s="107">
        <v>2</v>
      </c>
      <c r="B68" s="111">
        <f>'1- DM SP CHUẨN'!B68</f>
        <v>0</v>
      </c>
      <c r="C68" s="119">
        <f>'1- DM SP CHUẨN'!F68</f>
        <v>0</v>
      </c>
      <c r="D68" s="120">
        <f>'1- DM SP CHUẨN'!G68</f>
        <v>0</v>
      </c>
      <c r="E68" s="121">
        <f t="shared" si="3"/>
        <v>0</v>
      </c>
      <c r="F68" s="187"/>
      <c r="G68" s="189"/>
      <c r="H68" s="121">
        <f t="shared" si="4"/>
        <v>0</v>
      </c>
      <c r="I68" s="124">
        <f t="shared" si="5"/>
        <v>0</v>
      </c>
      <c r="J68" s="11"/>
      <c r="K68" s="11"/>
      <c r="L68" s="11"/>
      <c r="M68" s="11"/>
      <c r="N68" s="11"/>
      <c r="O68" s="11"/>
      <c r="P68" s="11"/>
      <c r="Q68" s="11"/>
    </row>
    <row r="69" spans="1:17" ht="26.25" customHeight="1" x14ac:dyDescent="0.3">
      <c r="A69" s="107">
        <v>3</v>
      </c>
      <c r="B69" s="111">
        <f>'1- DM SP CHUẨN'!B69</f>
        <v>0</v>
      </c>
      <c r="C69" s="119">
        <f>'1- DM SP CHUẨN'!F69</f>
        <v>0</v>
      </c>
      <c r="D69" s="120">
        <f>'1- DM SP CHUẨN'!G69</f>
        <v>0</v>
      </c>
      <c r="E69" s="121">
        <f t="shared" si="3"/>
        <v>0</v>
      </c>
      <c r="F69" s="187"/>
      <c r="G69" s="189"/>
      <c r="H69" s="121">
        <f t="shared" si="4"/>
        <v>0</v>
      </c>
      <c r="I69" s="124">
        <f t="shared" si="5"/>
        <v>0</v>
      </c>
      <c r="J69" s="11"/>
      <c r="K69" s="11"/>
      <c r="L69" s="11"/>
      <c r="M69" s="11"/>
      <c r="N69" s="11"/>
      <c r="O69" s="11"/>
      <c r="P69" s="11"/>
      <c r="Q69" s="11"/>
    </row>
    <row r="70" spans="1:17" ht="50.25" customHeight="1" x14ac:dyDescent="0.3">
      <c r="A70" s="107">
        <v>4</v>
      </c>
      <c r="B70" s="111">
        <f>'1- DM SP CHUẨN'!B70</f>
        <v>0</v>
      </c>
      <c r="C70" s="119">
        <f>'1- DM SP CHUẨN'!F70</f>
        <v>0</v>
      </c>
      <c r="D70" s="120">
        <f>'1- DM SP CHUẨN'!G70</f>
        <v>0</v>
      </c>
      <c r="E70" s="121">
        <f t="shared" si="3"/>
        <v>0</v>
      </c>
      <c r="F70" s="187"/>
      <c r="G70" s="189"/>
      <c r="H70" s="121">
        <f t="shared" si="4"/>
        <v>0</v>
      </c>
      <c r="I70" s="124">
        <f t="shared" si="5"/>
        <v>0</v>
      </c>
      <c r="J70" s="11"/>
      <c r="K70" s="11"/>
      <c r="L70" s="11"/>
      <c r="M70" s="11"/>
      <c r="N70" s="11"/>
      <c r="O70" s="11"/>
      <c r="P70" s="11"/>
      <c r="Q70" s="11"/>
    </row>
    <row r="71" spans="1:17" ht="31.5" customHeight="1" x14ac:dyDescent="0.3">
      <c r="A71" s="107">
        <v>5</v>
      </c>
      <c r="B71" s="111">
        <f>'1- DM SP CHUẨN'!B71</f>
        <v>0</v>
      </c>
      <c r="C71" s="119">
        <f>'1- DM SP CHUẨN'!F71</f>
        <v>0</v>
      </c>
      <c r="D71" s="120">
        <f>'1- DM SP CHUẨN'!G71</f>
        <v>0</v>
      </c>
      <c r="E71" s="121">
        <f t="shared" si="3"/>
        <v>0</v>
      </c>
      <c r="F71" s="187"/>
      <c r="G71" s="189"/>
      <c r="H71" s="121">
        <f t="shared" si="4"/>
        <v>0</v>
      </c>
      <c r="I71" s="124">
        <f t="shared" si="5"/>
        <v>0</v>
      </c>
      <c r="J71" s="11"/>
      <c r="K71" s="11"/>
      <c r="L71" s="11"/>
      <c r="M71" s="11"/>
      <c r="N71" s="11"/>
      <c r="O71" s="11"/>
      <c r="P71" s="11"/>
      <c r="Q71" s="11"/>
    </row>
    <row r="72" spans="1:17" ht="31.5" customHeight="1" x14ac:dyDescent="0.3">
      <c r="A72" s="151" t="s">
        <v>20</v>
      </c>
      <c r="B72" s="154" t="s">
        <v>356</v>
      </c>
      <c r="C72" s="119"/>
      <c r="D72" s="120"/>
      <c r="E72" s="121"/>
      <c r="F72" s="122"/>
      <c r="G72" s="123"/>
      <c r="H72" s="121"/>
      <c r="I72" s="124"/>
      <c r="J72" s="11"/>
      <c r="K72" s="11"/>
      <c r="L72" s="11"/>
      <c r="M72" s="11"/>
      <c r="N72" s="11"/>
      <c r="O72" s="11"/>
      <c r="P72" s="11"/>
      <c r="Q72" s="11"/>
    </row>
    <row r="73" spans="1:17" ht="15.6" x14ac:dyDescent="0.3">
      <c r="A73" s="107">
        <v>1</v>
      </c>
      <c r="B73" s="111">
        <f>'1- DM SP CHUẨN'!B73</f>
        <v>0</v>
      </c>
      <c r="C73" s="119">
        <f>'1- DM SP CHUẨN'!F73</f>
        <v>0</v>
      </c>
      <c r="D73" s="120">
        <f>'1- DM SP CHUẨN'!G73</f>
        <v>0</v>
      </c>
      <c r="E73" s="121">
        <f t="shared" si="3"/>
        <v>0</v>
      </c>
      <c r="F73" s="187"/>
      <c r="G73" s="189"/>
      <c r="H73" s="121">
        <f t="shared" si="4"/>
        <v>0</v>
      </c>
      <c r="I73" s="124">
        <f t="shared" si="5"/>
        <v>0</v>
      </c>
      <c r="J73" s="11"/>
      <c r="K73" s="11"/>
      <c r="L73" s="11"/>
      <c r="M73" s="11"/>
      <c r="N73" s="11"/>
      <c r="O73" s="11"/>
      <c r="P73" s="11"/>
      <c r="Q73" s="11"/>
    </row>
    <row r="74" spans="1:17" ht="15.6" x14ac:dyDescent="0.3">
      <c r="A74" s="107">
        <v>2</v>
      </c>
      <c r="B74" s="111">
        <f>'1- DM SP CHUẨN'!B74</f>
        <v>0</v>
      </c>
      <c r="C74" s="119">
        <f>'1- DM SP CHUẨN'!F74</f>
        <v>0</v>
      </c>
      <c r="D74" s="120">
        <f>'1- DM SP CHUẨN'!G74</f>
        <v>0</v>
      </c>
      <c r="E74" s="121">
        <f t="shared" si="3"/>
        <v>0</v>
      </c>
      <c r="F74" s="187"/>
      <c r="G74" s="189"/>
      <c r="H74" s="121">
        <f t="shared" si="4"/>
        <v>0</v>
      </c>
      <c r="I74" s="124">
        <f t="shared" si="5"/>
        <v>0</v>
      </c>
      <c r="J74" s="11"/>
      <c r="K74" s="11"/>
      <c r="L74" s="11"/>
      <c r="M74" s="11"/>
      <c r="N74" s="11"/>
      <c r="O74" s="11"/>
      <c r="P74" s="11"/>
      <c r="Q74" s="11"/>
    </row>
    <row r="75" spans="1:17" ht="15.6" x14ac:dyDescent="0.3">
      <c r="A75" s="107">
        <v>3</v>
      </c>
      <c r="B75" s="111">
        <f>'1- DM SP CHUẨN'!B75</f>
        <v>0</v>
      </c>
      <c r="C75" s="119">
        <f>'1- DM SP CHUẨN'!F75</f>
        <v>0</v>
      </c>
      <c r="D75" s="120">
        <f>'1- DM SP CHUẨN'!G75</f>
        <v>0</v>
      </c>
      <c r="E75" s="121">
        <f t="shared" si="3"/>
        <v>0</v>
      </c>
      <c r="F75" s="187"/>
      <c r="G75" s="189"/>
      <c r="H75" s="121">
        <f t="shared" si="4"/>
        <v>0</v>
      </c>
      <c r="I75" s="124">
        <f t="shared" si="5"/>
        <v>0</v>
      </c>
      <c r="J75" s="11"/>
      <c r="K75" s="11"/>
      <c r="L75" s="11"/>
      <c r="M75" s="11"/>
      <c r="N75" s="11"/>
      <c r="O75" s="11"/>
      <c r="P75" s="11"/>
      <c r="Q75" s="11"/>
    </row>
    <row r="76" spans="1:17" ht="15.6" x14ac:dyDescent="0.3">
      <c r="A76" s="107">
        <v>4</v>
      </c>
      <c r="B76" s="111">
        <f>'1- DM SP CHUẨN'!B76</f>
        <v>0</v>
      </c>
      <c r="C76" s="119">
        <f>'1- DM SP CHUẨN'!F76</f>
        <v>0</v>
      </c>
      <c r="D76" s="120">
        <f>'1- DM SP CHUẨN'!G76</f>
        <v>0</v>
      </c>
      <c r="E76" s="121">
        <f t="shared" si="3"/>
        <v>0</v>
      </c>
      <c r="F76" s="187"/>
      <c r="G76" s="189"/>
      <c r="H76" s="121">
        <f t="shared" si="4"/>
        <v>0</v>
      </c>
      <c r="I76" s="124">
        <f t="shared" si="5"/>
        <v>0</v>
      </c>
      <c r="J76" s="11"/>
      <c r="K76" s="11"/>
      <c r="L76" s="11"/>
      <c r="M76" s="11"/>
      <c r="N76" s="11"/>
      <c r="O76" s="11"/>
      <c r="P76" s="11"/>
      <c r="Q76" s="11"/>
    </row>
    <row r="77" spans="1:17" ht="15.6" x14ac:dyDescent="0.3">
      <c r="A77" s="107">
        <v>5</v>
      </c>
      <c r="B77" s="111">
        <f>'1- DM SP CHUẨN'!B77</f>
        <v>0</v>
      </c>
      <c r="C77" s="119">
        <f>'1- DM SP CHUẨN'!F77</f>
        <v>0</v>
      </c>
      <c r="D77" s="120">
        <f>'1- DM SP CHUẨN'!G77</f>
        <v>0</v>
      </c>
      <c r="E77" s="121">
        <f t="shared" si="3"/>
        <v>0</v>
      </c>
      <c r="F77" s="187"/>
      <c r="G77" s="189"/>
      <c r="H77" s="121">
        <f t="shared" si="4"/>
        <v>0</v>
      </c>
      <c r="I77" s="124">
        <f t="shared" si="5"/>
        <v>0</v>
      </c>
      <c r="J77" s="11"/>
      <c r="K77" s="11"/>
      <c r="L77" s="11"/>
      <c r="M77" s="11"/>
      <c r="N77" s="11"/>
      <c r="O77" s="11"/>
      <c r="P77" s="11"/>
      <c r="Q77" s="11"/>
    </row>
    <row r="78" spans="1:17" ht="44.25" customHeight="1" x14ac:dyDescent="0.3">
      <c r="A78" s="119"/>
      <c r="B78" s="239" t="s">
        <v>349</v>
      </c>
      <c r="C78" s="240"/>
      <c r="D78" s="240"/>
      <c r="E78" s="125">
        <f>SUM(E7:E77)</f>
        <v>0</v>
      </c>
      <c r="F78" s="241" t="s">
        <v>95</v>
      </c>
      <c r="G78" s="242"/>
      <c r="H78" s="242"/>
      <c r="I78" s="126">
        <f>SUM(I7:I77)</f>
        <v>0</v>
      </c>
      <c r="J78" s="11"/>
      <c r="K78" s="11"/>
      <c r="L78" s="11"/>
      <c r="M78" s="11"/>
      <c r="N78" s="11"/>
      <c r="O78" s="11"/>
      <c r="P78" s="11"/>
      <c r="Q78" s="11"/>
    </row>
    <row r="79" spans="1:17" ht="24.75" customHeight="1" x14ac:dyDescent="0.3">
      <c r="A79" s="119"/>
      <c r="B79" s="127" t="s">
        <v>191</v>
      </c>
      <c r="C79" s="126" t="e">
        <f>IF(I78&gt;E78,70,I78/E78*70)</f>
        <v>#DIV/0!</v>
      </c>
      <c r="D79" s="245"/>
      <c r="E79" s="240"/>
      <c r="F79" s="240"/>
      <c r="G79" s="240"/>
      <c r="H79" s="240"/>
      <c r="I79" s="240"/>
      <c r="J79" s="11"/>
      <c r="K79" s="11"/>
      <c r="L79" s="11"/>
      <c r="M79" s="11"/>
      <c r="N79" s="11"/>
      <c r="O79" s="11"/>
      <c r="P79" s="11"/>
      <c r="Q79" s="11"/>
    </row>
    <row r="80" spans="1:17" ht="15.75" customHeight="1" x14ac:dyDescent="0.3">
      <c r="A80" s="43"/>
      <c r="B80" s="11"/>
      <c r="C80" s="112"/>
      <c r="D80" s="112"/>
      <c r="E80" s="11"/>
      <c r="F80" s="11"/>
      <c r="G80" s="11"/>
      <c r="H80" s="11"/>
      <c r="I80" s="11"/>
      <c r="J80" s="11"/>
      <c r="K80" s="11"/>
      <c r="L80" s="11"/>
      <c r="M80" s="11"/>
      <c r="N80" s="11"/>
      <c r="O80" s="11"/>
      <c r="P80" s="11"/>
      <c r="Q80" s="11"/>
    </row>
    <row r="81" spans="1:17" ht="15.75" customHeight="1" x14ac:dyDescent="0.3">
      <c r="A81" s="43"/>
      <c r="B81" s="128"/>
      <c r="C81" s="108"/>
      <c r="D81" s="108"/>
      <c r="E81" s="108"/>
      <c r="F81" s="236" t="s">
        <v>350</v>
      </c>
      <c r="G81" s="236"/>
      <c r="H81" s="236"/>
      <c r="I81" s="108"/>
      <c r="J81" s="113"/>
      <c r="K81" s="113"/>
      <c r="L81" s="113"/>
      <c r="M81" s="113"/>
      <c r="N81" s="113"/>
      <c r="O81" s="113"/>
      <c r="P81" s="113"/>
      <c r="Q81" s="113"/>
    </row>
    <row r="82" spans="1:17" ht="20.25" customHeight="1" x14ac:dyDescent="0.3">
      <c r="A82" s="112"/>
      <c r="B82" s="237"/>
      <c r="C82" s="238"/>
      <c r="D82" s="238"/>
      <c r="E82" s="238"/>
      <c r="F82" s="238"/>
      <c r="G82" s="238"/>
      <c r="H82" s="238"/>
      <c r="I82" s="238"/>
      <c r="J82" s="113"/>
      <c r="K82" s="113"/>
      <c r="L82" s="113"/>
      <c r="M82" s="113"/>
      <c r="N82" s="113"/>
      <c r="O82" s="113"/>
      <c r="P82" s="113"/>
      <c r="Q82" s="113"/>
    </row>
    <row r="83" spans="1:17" ht="20.25" customHeight="1" x14ac:dyDescent="0.3">
      <c r="A83" s="112"/>
      <c r="B83" s="237"/>
      <c r="C83" s="238"/>
      <c r="D83" s="238"/>
      <c r="E83" s="238"/>
      <c r="F83" s="238"/>
      <c r="G83" s="238"/>
      <c r="H83" s="238"/>
      <c r="I83" s="238"/>
      <c r="J83" s="113"/>
      <c r="K83" s="113"/>
      <c r="L83" s="113"/>
      <c r="M83" s="113"/>
      <c r="N83" s="113"/>
      <c r="O83" s="113"/>
      <c r="P83" s="113"/>
      <c r="Q83" s="113"/>
    </row>
    <row r="84" spans="1:17" ht="20.25" customHeight="1" x14ac:dyDescent="0.3">
      <c r="A84" s="112"/>
      <c r="B84" s="237"/>
      <c r="C84" s="238"/>
      <c r="D84" s="238"/>
      <c r="E84" s="238"/>
      <c r="F84" s="238"/>
      <c r="G84" s="238"/>
      <c r="H84" s="238"/>
      <c r="I84" s="238"/>
      <c r="J84" s="113"/>
      <c r="K84" s="113"/>
      <c r="L84" s="113"/>
      <c r="M84" s="113"/>
      <c r="N84" s="113"/>
      <c r="O84" s="113"/>
      <c r="P84" s="113"/>
      <c r="Q84" s="113"/>
    </row>
    <row r="85" spans="1:17" ht="31.5" customHeight="1" x14ac:dyDescent="0.3">
      <c r="A85" s="112"/>
      <c r="B85" s="105"/>
      <c r="C85" s="108"/>
      <c r="D85" s="108"/>
      <c r="E85" s="108"/>
      <c r="F85" s="235" t="s">
        <v>370</v>
      </c>
      <c r="G85" s="235"/>
      <c r="H85" s="235"/>
      <c r="I85" s="108"/>
      <c r="J85" s="113"/>
      <c r="K85" s="113"/>
      <c r="L85" s="113"/>
      <c r="M85" s="113"/>
      <c r="N85" s="113"/>
      <c r="O85" s="113"/>
      <c r="P85" s="113"/>
      <c r="Q85" s="113"/>
    </row>
    <row r="86" spans="1:17" ht="90" customHeight="1" x14ac:dyDescent="0.3">
      <c r="A86" s="112"/>
      <c r="B86" s="234"/>
      <c r="C86" s="194"/>
      <c r="D86" s="194"/>
      <c r="E86" s="194"/>
      <c r="F86" s="194"/>
      <c r="G86" s="194"/>
      <c r="H86" s="194"/>
      <c r="I86" s="194"/>
      <c r="J86" s="113"/>
      <c r="K86" s="113"/>
      <c r="L86" s="113"/>
      <c r="M86" s="113"/>
      <c r="N86" s="113"/>
      <c r="O86" s="113"/>
      <c r="P86" s="113"/>
      <c r="Q86" s="113"/>
    </row>
    <row r="87" spans="1:17" ht="19.5" customHeight="1" x14ac:dyDescent="0.3">
      <c r="A87" s="112"/>
      <c r="B87" s="234"/>
      <c r="C87" s="194"/>
      <c r="D87" s="194"/>
      <c r="E87" s="194"/>
      <c r="F87" s="194"/>
      <c r="G87" s="194"/>
      <c r="H87" s="194"/>
      <c r="I87" s="194"/>
      <c r="J87" s="113"/>
      <c r="K87" s="113"/>
      <c r="L87" s="113"/>
      <c r="M87" s="113"/>
      <c r="N87" s="113"/>
      <c r="O87" s="113"/>
      <c r="P87" s="113"/>
      <c r="Q87" s="113"/>
    </row>
    <row r="88" spans="1:17" ht="57.75" customHeight="1" x14ac:dyDescent="0.3">
      <c r="A88" s="112"/>
      <c r="B88" s="234"/>
      <c r="C88" s="194"/>
      <c r="D88" s="194"/>
      <c r="E88" s="194"/>
      <c r="F88" s="194"/>
      <c r="G88" s="194"/>
      <c r="H88" s="194"/>
      <c r="I88" s="194"/>
      <c r="J88" s="11"/>
      <c r="K88" s="11"/>
      <c r="L88" s="11"/>
      <c r="M88" s="11"/>
      <c r="N88" s="11"/>
      <c r="O88" s="11"/>
      <c r="P88" s="11"/>
      <c r="Q88" s="11"/>
    </row>
    <row r="89" spans="1:17" ht="15.75" customHeight="1" x14ac:dyDescent="0.3">
      <c r="A89" s="43"/>
      <c r="B89" s="197"/>
      <c r="C89" s="194"/>
      <c r="D89" s="194"/>
      <c r="E89" s="194"/>
      <c r="F89" s="194"/>
      <c r="G89" s="194"/>
      <c r="H89" s="194"/>
      <c r="I89" s="194"/>
      <c r="J89" s="11"/>
      <c r="K89" s="11"/>
      <c r="L89" s="11"/>
      <c r="M89" s="11"/>
      <c r="N89" s="11"/>
      <c r="O89" s="11"/>
      <c r="P89" s="11"/>
      <c r="Q89" s="11"/>
    </row>
    <row r="90" spans="1:17" ht="15.75" customHeight="1" x14ac:dyDescent="0.3">
      <c r="A90" s="43"/>
      <c r="B90" s="11"/>
      <c r="C90" s="112"/>
      <c r="D90" s="112"/>
      <c r="E90" s="11"/>
      <c r="F90" s="11"/>
      <c r="G90" s="11"/>
      <c r="H90" s="11"/>
      <c r="I90" s="11"/>
      <c r="J90" s="11"/>
      <c r="K90" s="11"/>
      <c r="L90" s="11"/>
      <c r="M90" s="11"/>
      <c r="N90" s="11"/>
      <c r="O90" s="11"/>
      <c r="P90" s="11"/>
      <c r="Q90" s="11"/>
    </row>
    <row r="91" spans="1:17" ht="15.75" customHeight="1" x14ac:dyDescent="0.3">
      <c r="A91" s="43"/>
      <c r="B91" s="11"/>
      <c r="C91" s="112"/>
      <c r="D91" s="112"/>
      <c r="E91" s="11"/>
      <c r="F91" s="11"/>
      <c r="G91" s="11"/>
      <c r="H91" s="11"/>
      <c r="I91" s="11"/>
      <c r="J91" s="11"/>
      <c r="K91" s="11"/>
      <c r="L91" s="11"/>
      <c r="M91" s="11"/>
      <c r="N91" s="11"/>
      <c r="O91" s="11"/>
      <c r="P91" s="11"/>
      <c r="Q91" s="11"/>
    </row>
    <row r="92" spans="1:17" ht="15.75" customHeight="1" x14ac:dyDescent="0.3">
      <c r="A92" s="43"/>
      <c r="B92" s="11"/>
      <c r="C92" s="112"/>
      <c r="D92" s="112"/>
      <c r="E92" s="11"/>
      <c r="F92" s="11"/>
      <c r="G92" s="11"/>
      <c r="H92" s="11"/>
      <c r="I92" s="11"/>
      <c r="J92" s="11"/>
      <c r="K92" s="11"/>
      <c r="L92" s="11"/>
      <c r="M92" s="11"/>
      <c r="N92" s="11"/>
      <c r="O92" s="11"/>
      <c r="P92" s="11"/>
      <c r="Q92" s="11"/>
    </row>
    <row r="93" spans="1:17" ht="15.75" customHeight="1" x14ac:dyDescent="0.3">
      <c r="A93" s="43"/>
      <c r="B93" s="11"/>
      <c r="C93" s="112"/>
      <c r="D93" s="112"/>
      <c r="E93" s="11"/>
      <c r="F93" s="11"/>
      <c r="G93" s="11"/>
      <c r="H93" s="11"/>
      <c r="I93" s="11"/>
      <c r="J93" s="11"/>
      <c r="K93" s="11"/>
      <c r="L93" s="11"/>
      <c r="M93" s="11"/>
      <c r="N93" s="11"/>
      <c r="O93" s="11"/>
      <c r="P93" s="11"/>
      <c r="Q93" s="11"/>
    </row>
    <row r="94" spans="1:17" ht="15.75" customHeight="1" x14ac:dyDescent="0.3">
      <c r="A94" s="43"/>
      <c r="B94" s="11"/>
      <c r="C94" s="112"/>
      <c r="D94" s="112"/>
      <c r="E94" s="11"/>
      <c r="F94" s="11"/>
      <c r="G94" s="11"/>
      <c r="H94" s="11"/>
      <c r="I94" s="11"/>
      <c r="J94" s="11"/>
      <c r="K94" s="11"/>
      <c r="L94" s="11"/>
      <c r="M94" s="11"/>
      <c r="N94" s="11"/>
      <c r="O94" s="11"/>
      <c r="P94" s="11"/>
      <c r="Q94" s="11"/>
    </row>
    <row r="95" spans="1:17" ht="15.75" customHeight="1" x14ac:dyDescent="0.3">
      <c r="A95" s="43"/>
      <c r="B95" s="11"/>
      <c r="C95" s="112"/>
      <c r="D95" s="112"/>
      <c r="E95" s="11"/>
      <c r="F95" s="11"/>
      <c r="G95" s="11"/>
      <c r="H95" s="11"/>
      <c r="I95" s="11"/>
      <c r="J95" s="11"/>
      <c r="K95" s="11"/>
      <c r="L95" s="11"/>
      <c r="M95" s="11"/>
      <c r="N95" s="11"/>
      <c r="O95" s="11"/>
      <c r="P95" s="11"/>
      <c r="Q95" s="11"/>
    </row>
    <row r="96" spans="1:17" ht="15.75" customHeight="1" x14ac:dyDescent="0.3">
      <c r="A96" s="43"/>
      <c r="B96" s="11"/>
      <c r="C96" s="112"/>
      <c r="D96" s="112"/>
      <c r="E96" s="11"/>
      <c r="F96" s="11"/>
      <c r="G96" s="11"/>
      <c r="H96" s="11"/>
      <c r="I96" s="11"/>
      <c r="J96" s="11"/>
      <c r="K96" s="11"/>
      <c r="L96" s="11"/>
      <c r="M96" s="11"/>
      <c r="N96" s="11"/>
      <c r="O96" s="11"/>
      <c r="P96" s="11"/>
      <c r="Q96" s="11"/>
    </row>
    <row r="97" spans="1:17" ht="15.75" customHeight="1" x14ac:dyDescent="0.3">
      <c r="A97" s="43"/>
      <c r="B97" s="11"/>
      <c r="C97" s="112"/>
      <c r="D97" s="112"/>
      <c r="E97" s="11"/>
      <c r="F97" s="11"/>
      <c r="G97" s="11"/>
      <c r="H97" s="11"/>
      <c r="I97" s="11"/>
      <c r="J97" s="11"/>
      <c r="K97" s="11"/>
      <c r="L97" s="11"/>
      <c r="M97" s="11"/>
      <c r="N97" s="11"/>
      <c r="O97" s="11"/>
      <c r="P97" s="11"/>
      <c r="Q97" s="11"/>
    </row>
    <row r="98" spans="1:17" ht="15.75" customHeight="1" x14ac:dyDescent="0.3">
      <c r="A98" s="43"/>
      <c r="B98" s="11"/>
      <c r="C98" s="112"/>
      <c r="D98" s="112"/>
      <c r="E98" s="11"/>
      <c r="F98" s="11"/>
      <c r="G98" s="11"/>
      <c r="H98" s="11"/>
      <c r="I98" s="11"/>
      <c r="J98" s="11"/>
      <c r="K98" s="11"/>
      <c r="L98" s="11"/>
      <c r="M98" s="11"/>
      <c r="N98" s="11"/>
      <c r="O98" s="11"/>
      <c r="P98" s="11"/>
      <c r="Q98" s="11"/>
    </row>
    <row r="99" spans="1:17" ht="15.75" customHeight="1" x14ac:dyDescent="0.3">
      <c r="A99" s="43"/>
      <c r="B99" s="11"/>
      <c r="C99" s="112"/>
      <c r="D99" s="112"/>
      <c r="E99" s="11"/>
      <c r="F99" s="11"/>
      <c r="G99" s="11"/>
      <c r="H99" s="11"/>
      <c r="I99" s="11"/>
      <c r="J99" s="11"/>
      <c r="K99" s="11"/>
      <c r="L99" s="11"/>
      <c r="M99" s="11"/>
      <c r="N99" s="11"/>
      <c r="O99" s="11"/>
      <c r="P99" s="11"/>
      <c r="Q99" s="11"/>
    </row>
    <row r="100" spans="1:17" ht="15.75" customHeight="1" x14ac:dyDescent="0.3">
      <c r="A100" s="43"/>
      <c r="B100" s="11"/>
      <c r="C100" s="112"/>
      <c r="D100" s="112"/>
      <c r="E100" s="11"/>
      <c r="F100" s="11"/>
      <c r="G100" s="11"/>
      <c r="H100" s="11"/>
      <c r="I100" s="11"/>
      <c r="J100" s="11"/>
      <c r="K100" s="11"/>
      <c r="L100" s="11"/>
      <c r="M100" s="11"/>
      <c r="N100" s="11"/>
      <c r="O100" s="11"/>
      <c r="P100" s="11"/>
      <c r="Q100" s="11"/>
    </row>
    <row r="101" spans="1:17" ht="15.75" customHeight="1" x14ac:dyDescent="0.3">
      <c r="A101" s="43"/>
      <c r="B101" s="11"/>
      <c r="C101" s="112"/>
      <c r="D101" s="112"/>
      <c r="E101" s="11"/>
      <c r="F101" s="11"/>
      <c r="G101" s="11"/>
      <c r="H101" s="11"/>
      <c r="I101" s="11"/>
      <c r="J101" s="11"/>
      <c r="K101" s="11"/>
      <c r="L101" s="11"/>
      <c r="M101" s="11"/>
      <c r="N101" s="11"/>
      <c r="O101" s="11"/>
      <c r="P101" s="11"/>
      <c r="Q101" s="11"/>
    </row>
    <row r="102" spans="1:17" ht="15.75" customHeight="1" x14ac:dyDescent="0.3">
      <c r="A102" s="43"/>
      <c r="B102" s="11"/>
      <c r="C102" s="112"/>
      <c r="D102" s="112"/>
      <c r="E102" s="11"/>
      <c r="F102" s="11"/>
      <c r="G102" s="11"/>
      <c r="H102" s="11"/>
      <c r="I102" s="11"/>
      <c r="J102" s="11"/>
      <c r="K102" s="11"/>
      <c r="L102" s="11"/>
      <c r="M102" s="11"/>
      <c r="N102" s="11"/>
      <c r="O102" s="11"/>
      <c r="P102" s="11"/>
      <c r="Q102" s="11"/>
    </row>
    <row r="103" spans="1:17" ht="15.75" customHeight="1" x14ac:dyDescent="0.3">
      <c r="A103" s="43"/>
      <c r="B103" s="11"/>
      <c r="C103" s="112"/>
      <c r="D103" s="112"/>
      <c r="E103" s="11"/>
      <c r="F103" s="11"/>
      <c r="G103" s="11"/>
      <c r="H103" s="11"/>
      <c r="I103" s="11"/>
      <c r="J103" s="11"/>
      <c r="K103" s="11"/>
      <c r="L103" s="11"/>
      <c r="M103" s="11"/>
      <c r="N103" s="11"/>
      <c r="O103" s="11"/>
      <c r="P103" s="11"/>
      <c r="Q103" s="11"/>
    </row>
    <row r="104" spans="1:17" ht="15.75" customHeight="1" x14ac:dyDescent="0.3">
      <c r="A104" s="43"/>
      <c r="B104" s="11"/>
      <c r="C104" s="112"/>
      <c r="D104" s="112"/>
      <c r="E104" s="11"/>
      <c r="F104" s="11"/>
      <c r="G104" s="11"/>
      <c r="H104" s="11"/>
      <c r="I104" s="11"/>
      <c r="J104" s="11"/>
      <c r="K104" s="11"/>
      <c r="L104" s="11"/>
      <c r="M104" s="11"/>
      <c r="N104" s="11"/>
      <c r="O104" s="11"/>
      <c r="P104" s="11"/>
      <c r="Q104" s="11"/>
    </row>
    <row r="105" spans="1:17" ht="15.75" customHeight="1" x14ac:dyDescent="0.3">
      <c r="A105" s="43"/>
      <c r="B105" s="11"/>
      <c r="C105" s="112"/>
      <c r="D105" s="112"/>
      <c r="E105" s="11"/>
      <c r="F105" s="11"/>
      <c r="G105" s="11"/>
      <c r="H105" s="11"/>
      <c r="I105" s="11"/>
      <c r="J105" s="11"/>
      <c r="K105" s="11"/>
      <c r="L105" s="11"/>
      <c r="M105" s="11"/>
      <c r="N105" s="11"/>
      <c r="O105" s="11"/>
      <c r="P105" s="11"/>
      <c r="Q105" s="11"/>
    </row>
    <row r="106" spans="1:17" ht="15.75" customHeight="1" x14ac:dyDescent="0.3">
      <c r="A106" s="43"/>
      <c r="B106" s="11"/>
      <c r="C106" s="112"/>
      <c r="D106" s="112"/>
      <c r="E106" s="11"/>
      <c r="F106" s="11"/>
      <c r="G106" s="11"/>
      <c r="H106" s="11"/>
      <c r="I106" s="11"/>
      <c r="J106" s="11"/>
      <c r="K106" s="11"/>
      <c r="L106" s="11"/>
      <c r="M106" s="11"/>
      <c r="N106" s="11"/>
      <c r="O106" s="11"/>
      <c r="P106" s="11"/>
      <c r="Q106" s="11"/>
    </row>
    <row r="107" spans="1:17" ht="15.75" customHeight="1" x14ac:dyDescent="0.3">
      <c r="A107" s="43"/>
      <c r="B107" s="11"/>
      <c r="C107" s="112"/>
      <c r="D107" s="112"/>
      <c r="E107" s="11"/>
      <c r="F107" s="11"/>
      <c r="G107" s="11"/>
      <c r="H107" s="11"/>
      <c r="I107" s="11"/>
      <c r="J107" s="11"/>
      <c r="K107" s="11"/>
      <c r="L107" s="11"/>
      <c r="M107" s="11"/>
      <c r="N107" s="11"/>
      <c r="O107" s="11"/>
      <c r="P107" s="11"/>
      <c r="Q107" s="11"/>
    </row>
    <row r="108" spans="1:17" ht="15.75" customHeight="1" x14ac:dyDescent="0.3">
      <c r="A108" s="43"/>
      <c r="B108" s="11"/>
      <c r="C108" s="112"/>
      <c r="D108" s="112"/>
      <c r="E108" s="11"/>
      <c r="F108" s="11"/>
      <c r="G108" s="11"/>
      <c r="H108" s="11"/>
      <c r="I108" s="11"/>
      <c r="J108" s="11"/>
      <c r="K108" s="11"/>
      <c r="L108" s="11"/>
      <c r="M108" s="11"/>
      <c r="N108" s="11"/>
      <c r="O108" s="11"/>
      <c r="P108" s="11"/>
      <c r="Q108" s="11"/>
    </row>
    <row r="109" spans="1:17" ht="15.75" customHeight="1" x14ac:dyDescent="0.3">
      <c r="A109" s="43"/>
      <c r="B109" s="11"/>
      <c r="C109" s="112"/>
      <c r="D109" s="112"/>
      <c r="E109" s="11"/>
      <c r="F109" s="11"/>
      <c r="G109" s="11"/>
      <c r="H109" s="11"/>
      <c r="I109" s="11"/>
      <c r="J109" s="11"/>
      <c r="K109" s="11"/>
      <c r="L109" s="11"/>
      <c r="M109" s="11"/>
      <c r="N109" s="11"/>
      <c r="O109" s="11"/>
      <c r="P109" s="11"/>
      <c r="Q109" s="11"/>
    </row>
    <row r="110" spans="1:17" ht="15.75" customHeight="1" x14ac:dyDescent="0.3">
      <c r="A110" s="43"/>
      <c r="B110" s="11"/>
      <c r="C110" s="112"/>
      <c r="D110" s="112"/>
      <c r="E110" s="11"/>
      <c r="F110" s="11"/>
      <c r="G110" s="11"/>
      <c r="H110" s="11"/>
      <c r="I110" s="11"/>
      <c r="J110" s="11"/>
      <c r="K110" s="11"/>
      <c r="L110" s="11"/>
      <c r="M110" s="11"/>
      <c r="N110" s="11"/>
      <c r="O110" s="11"/>
      <c r="P110" s="11"/>
      <c r="Q110" s="11"/>
    </row>
    <row r="111" spans="1:17" ht="15.75" customHeight="1" x14ac:dyDescent="0.3">
      <c r="A111" s="43"/>
      <c r="B111" s="11"/>
      <c r="C111" s="112"/>
      <c r="D111" s="112"/>
      <c r="E111" s="11"/>
      <c r="F111" s="11"/>
      <c r="G111" s="11"/>
      <c r="H111" s="11"/>
      <c r="I111" s="11"/>
      <c r="J111" s="11"/>
      <c r="K111" s="11"/>
      <c r="L111" s="11"/>
      <c r="M111" s="11"/>
      <c r="N111" s="11"/>
      <c r="O111" s="11"/>
      <c r="P111" s="11"/>
      <c r="Q111" s="11"/>
    </row>
    <row r="112" spans="1:17" ht="15.75" customHeight="1" x14ac:dyDescent="0.3">
      <c r="A112" s="43"/>
      <c r="B112" s="11"/>
      <c r="C112" s="112"/>
      <c r="D112" s="112"/>
      <c r="E112" s="11"/>
      <c r="F112" s="11"/>
      <c r="G112" s="11"/>
      <c r="H112" s="11"/>
      <c r="I112" s="11"/>
      <c r="J112" s="11"/>
      <c r="K112" s="11"/>
      <c r="L112" s="11"/>
      <c r="M112" s="11"/>
      <c r="N112" s="11"/>
      <c r="O112" s="11"/>
      <c r="P112" s="11"/>
      <c r="Q112" s="11"/>
    </row>
    <row r="113" spans="1:17" ht="15.75" customHeight="1" x14ac:dyDescent="0.3">
      <c r="A113" s="43"/>
      <c r="B113" s="11"/>
      <c r="C113" s="112"/>
      <c r="D113" s="112"/>
      <c r="E113" s="11"/>
      <c r="F113" s="11"/>
      <c r="G113" s="11"/>
      <c r="H113" s="11"/>
      <c r="I113" s="11"/>
      <c r="J113" s="11"/>
      <c r="K113" s="11"/>
      <c r="L113" s="11"/>
      <c r="M113" s="11"/>
      <c r="N113" s="11"/>
      <c r="O113" s="11"/>
      <c r="P113" s="11"/>
      <c r="Q113" s="11"/>
    </row>
    <row r="114" spans="1:17" ht="15.75" customHeight="1" x14ac:dyDescent="0.3">
      <c r="A114" s="43"/>
      <c r="B114" s="11"/>
      <c r="C114" s="112"/>
      <c r="D114" s="112"/>
      <c r="E114" s="11"/>
      <c r="F114" s="11"/>
      <c r="G114" s="11"/>
      <c r="H114" s="11"/>
      <c r="I114" s="11"/>
      <c r="J114" s="11"/>
      <c r="K114" s="11"/>
      <c r="L114" s="11"/>
      <c r="M114" s="11"/>
      <c r="N114" s="11"/>
      <c r="O114" s="11"/>
      <c r="P114" s="11"/>
      <c r="Q114" s="11"/>
    </row>
    <row r="115" spans="1:17" ht="15.75" customHeight="1" x14ac:dyDescent="0.3">
      <c r="A115" s="43"/>
      <c r="B115" s="11"/>
      <c r="C115" s="112"/>
      <c r="D115" s="112"/>
      <c r="E115" s="11"/>
      <c r="F115" s="11"/>
      <c r="G115" s="11"/>
      <c r="H115" s="11"/>
      <c r="I115" s="11"/>
      <c r="J115" s="11"/>
      <c r="K115" s="11"/>
      <c r="L115" s="11"/>
      <c r="M115" s="11"/>
      <c r="N115" s="11"/>
      <c r="O115" s="11"/>
      <c r="P115" s="11"/>
      <c r="Q115" s="11"/>
    </row>
    <row r="116" spans="1:17" ht="15.75" customHeight="1" x14ac:dyDescent="0.3">
      <c r="A116" s="43"/>
      <c r="B116" s="11"/>
      <c r="C116" s="112"/>
      <c r="D116" s="112"/>
      <c r="E116" s="11"/>
      <c r="F116" s="11"/>
      <c r="G116" s="11"/>
      <c r="H116" s="11"/>
      <c r="I116" s="11"/>
      <c r="J116" s="11"/>
      <c r="K116" s="11"/>
      <c r="L116" s="11"/>
      <c r="M116" s="11"/>
      <c r="N116" s="11"/>
      <c r="O116" s="11"/>
      <c r="P116" s="11"/>
      <c r="Q116" s="11"/>
    </row>
    <row r="117" spans="1:17" ht="15.75" customHeight="1" x14ac:dyDescent="0.3">
      <c r="A117" s="43"/>
      <c r="B117" s="11"/>
      <c r="C117" s="112"/>
      <c r="D117" s="112"/>
      <c r="E117" s="11"/>
      <c r="F117" s="11"/>
      <c r="G117" s="11"/>
      <c r="H117" s="11"/>
      <c r="I117" s="11"/>
      <c r="J117" s="11"/>
      <c r="K117" s="11"/>
      <c r="L117" s="11"/>
      <c r="M117" s="11"/>
      <c r="N117" s="11"/>
      <c r="O117" s="11"/>
      <c r="P117" s="11"/>
      <c r="Q117" s="11"/>
    </row>
    <row r="118" spans="1:17" ht="15.75" customHeight="1" x14ac:dyDescent="0.3">
      <c r="A118" s="43"/>
      <c r="B118" s="11"/>
      <c r="C118" s="112"/>
      <c r="D118" s="112"/>
      <c r="E118" s="11"/>
      <c r="F118" s="11"/>
      <c r="G118" s="11"/>
      <c r="H118" s="11"/>
      <c r="I118" s="11"/>
      <c r="J118" s="11"/>
      <c r="K118" s="11"/>
      <c r="L118" s="11"/>
      <c r="M118" s="11"/>
      <c r="N118" s="11"/>
      <c r="O118" s="11"/>
      <c r="P118" s="11"/>
      <c r="Q118" s="11"/>
    </row>
    <row r="119" spans="1:17" ht="15.75" customHeight="1" x14ac:dyDescent="0.3">
      <c r="A119" s="43"/>
      <c r="B119" s="11"/>
      <c r="C119" s="112"/>
      <c r="D119" s="112"/>
      <c r="E119" s="11"/>
      <c r="F119" s="11"/>
      <c r="G119" s="11"/>
      <c r="H119" s="11"/>
      <c r="I119" s="11"/>
      <c r="J119" s="11"/>
      <c r="K119" s="11"/>
      <c r="L119" s="11"/>
      <c r="M119" s="11"/>
      <c r="N119" s="11"/>
      <c r="O119" s="11"/>
      <c r="P119" s="11"/>
      <c r="Q119" s="11"/>
    </row>
    <row r="120" spans="1:17" ht="15.75" customHeight="1" x14ac:dyDescent="0.3">
      <c r="A120" s="43"/>
      <c r="B120" s="11"/>
      <c r="C120" s="112"/>
      <c r="D120" s="112"/>
      <c r="E120" s="11"/>
      <c r="F120" s="11"/>
      <c r="G120" s="11"/>
      <c r="H120" s="11"/>
      <c r="I120" s="11"/>
      <c r="J120" s="11"/>
      <c r="K120" s="11"/>
      <c r="L120" s="11"/>
      <c r="M120" s="11"/>
      <c r="N120" s="11"/>
      <c r="O120" s="11"/>
      <c r="P120" s="11"/>
      <c r="Q120" s="11"/>
    </row>
    <row r="121" spans="1:17" ht="15.75" customHeight="1" x14ac:dyDescent="0.3">
      <c r="A121" s="43"/>
      <c r="B121" s="11"/>
      <c r="C121" s="112"/>
      <c r="D121" s="112"/>
      <c r="E121" s="11"/>
      <c r="F121" s="11"/>
      <c r="G121" s="11"/>
      <c r="H121" s="11"/>
      <c r="I121" s="11"/>
      <c r="J121" s="11"/>
      <c r="K121" s="11"/>
      <c r="L121" s="11"/>
      <c r="M121" s="11"/>
      <c r="N121" s="11"/>
      <c r="O121" s="11"/>
      <c r="P121" s="11"/>
      <c r="Q121" s="11"/>
    </row>
    <row r="122" spans="1:17" ht="15.75" customHeight="1" x14ac:dyDescent="0.3">
      <c r="A122" s="43"/>
      <c r="B122" s="11"/>
      <c r="C122" s="112"/>
      <c r="D122" s="112"/>
      <c r="E122" s="11"/>
      <c r="F122" s="11"/>
      <c r="G122" s="11"/>
      <c r="H122" s="11"/>
      <c r="I122" s="11"/>
      <c r="J122" s="11"/>
      <c r="K122" s="11"/>
      <c r="L122" s="11"/>
      <c r="M122" s="11"/>
      <c r="N122" s="11"/>
      <c r="O122" s="11"/>
      <c r="P122" s="11"/>
      <c r="Q122" s="11"/>
    </row>
    <row r="123" spans="1:17" ht="15.75" customHeight="1" x14ac:dyDescent="0.3">
      <c r="A123" s="43"/>
      <c r="B123" s="11"/>
      <c r="C123" s="112"/>
      <c r="D123" s="112"/>
      <c r="E123" s="11"/>
      <c r="F123" s="11"/>
      <c r="G123" s="11"/>
      <c r="H123" s="11"/>
      <c r="I123" s="11"/>
      <c r="J123" s="11"/>
      <c r="K123" s="11"/>
      <c r="L123" s="11"/>
      <c r="M123" s="11"/>
      <c r="N123" s="11"/>
      <c r="O123" s="11"/>
      <c r="P123" s="11"/>
      <c r="Q123" s="11"/>
    </row>
    <row r="124" spans="1:17" ht="15.75" customHeight="1" x14ac:dyDescent="0.3">
      <c r="A124" s="43"/>
      <c r="B124" s="11"/>
      <c r="C124" s="112"/>
      <c r="D124" s="112"/>
      <c r="E124" s="11"/>
      <c r="F124" s="11"/>
      <c r="G124" s="11"/>
      <c r="H124" s="11"/>
      <c r="I124" s="11"/>
      <c r="J124" s="11"/>
      <c r="K124" s="11"/>
      <c r="L124" s="11"/>
      <c r="M124" s="11"/>
      <c r="N124" s="11"/>
      <c r="O124" s="11"/>
      <c r="P124" s="11"/>
      <c r="Q124" s="11"/>
    </row>
    <row r="125" spans="1:17" ht="15.75" customHeight="1" x14ac:dyDescent="0.3">
      <c r="A125" s="43"/>
      <c r="B125" s="11"/>
      <c r="C125" s="112"/>
      <c r="D125" s="112"/>
      <c r="E125" s="11"/>
      <c r="F125" s="11"/>
      <c r="G125" s="11"/>
      <c r="H125" s="11"/>
      <c r="I125" s="11"/>
      <c r="J125" s="11"/>
      <c r="K125" s="11"/>
      <c r="L125" s="11"/>
      <c r="M125" s="11"/>
      <c r="N125" s="11"/>
      <c r="O125" s="11"/>
      <c r="P125" s="11"/>
      <c r="Q125" s="11"/>
    </row>
    <row r="126" spans="1:17" ht="15.75" customHeight="1" x14ac:dyDescent="0.3">
      <c r="A126" s="43"/>
      <c r="B126" s="11"/>
      <c r="C126" s="112"/>
      <c r="D126" s="112"/>
      <c r="E126" s="11"/>
      <c r="F126" s="11"/>
      <c r="G126" s="11"/>
      <c r="H126" s="11"/>
      <c r="I126" s="11"/>
      <c r="J126" s="11"/>
      <c r="K126" s="11"/>
      <c r="L126" s="11"/>
      <c r="M126" s="11"/>
      <c r="N126" s="11"/>
      <c r="O126" s="11"/>
      <c r="P126" s="11"/>
      <c r="Q126" s="11"/>
    </row>
    <row r="127" spans="1:17" ht="15.75" customHeight="1" x14ac:dyDescent="0.3">
      <c r="A127" s="43"/>
      <c r="B127" s="11"/>
      <c r="C127" s="112"/>
      <c r="D127" s="112"/>
      <c r="E127" s="11"/>
      <c r="F127" s="11"/>
      <c r="G127" s="11"/>
      <c r="H127" s="11"/>
      <c r="I127" s="11"/>
      <c r="J127" s="11"/>
      <c r="K127" s="11"/>
      <c r="L127" s="11"/>
      <c r="M127" s="11"/>
      <c r="N127" s="11"/>
      <c r="O127" s="11"/>
      <c r="P127" s="11"/>
      <c r="Q127" s="11"/>
    </row>
    <row r="128" spans="1:17" ht="15.75" customHeight="1" x14ac:dyDescent="0.3">
      <c r="A128" s="43"/>
      <c r="B128" s="11"/>
      <c r="C128" s="112"/>
      <c r="D128" s="112"/>
      <c r="E128" s="11"/>
      <c r="F128" s="11"/>
      <c r="G128" s="11"/>
      <c r="H128" s="11"/>
      <c r="I128" s="11"/>
      <c r="J128" s="11"/>
      <c r="K128" s="11"/>
      <c r="L128" s="11"/>
      <c r="M128" s="11"/>
      <c r="N128" s="11"/>
      <c r="O128" s="11"/>
      <c r="P128" s="11"/>
      <c r="Q128" s="11"/>
    </row>
    <row r="129" spans="1:17" ht="15.75" customHeight="1" x14ac:dyDescent="0.3">
      <c r="A129" s="43"/>
      <c r="B129" s="11"/>
      <c r="C129" s="112"/>
      <c r="D129" s="112"/>
      <c r="E129" s="11"/>
      <c r="F129" s="11"/>
      <c r="G129" s="11"/>
      <c r="H129" s="11"/>
      <c r="I129" s="11"/>
      <c r="J129" s="11"/>
      <c r="K129" s="11"/>
      <c r="L129" s="11"/>
      <c r="M129" s="11"/>
      <c r="N129" s="11"/>
      <c r="O129" s="11"/>
      <c r="P129" s="11"/>
      <c r="Q129" s="11"/>
    </row>
    <row r="130" spans="1:17" ht="15.75" customHeight="1" x14ac:dyDescent="0.3">
      <c r="A130" s="43"/>
      <c r="B130" s="11"/>
      <c r="C130" s="112"/>
      <c r="D130" s="112"/>
      <c r="E130" s="11"/>
      <c r="F130" s="11"/>
      <c r="G130" s="11"/>
      <c r="H130" s="11"/>
      <c r="I130" s="11"/>
      <c r="J130" s="11"/>
      <c r="K130" s="11"/>
      <c r="L130" s="11"/>
      <c r="M130" s="11"/>
      <c r="N130" s="11"/>
      <c r="O130" s="11"/>
      <c r="P130" s="11"/>
      <c r="Q130" s="11"/>
    </row>
    <row r="131" spans="1:17" ht="15.75" customHeight="1" x14ac:dyDescent="0.3">
      <c r="A131" s="43"/>
      <c r="B131" s="11"/>
      <c r="C131" s="112"/>
      <c r="D131" s="112"/>
      <c r="E131" s="11"/>
      <c r="F131" s="11"/>
      <c r="G131" s="11"/>
      <c r="H131" s="11"/>
      <c r="I131" s="11"/>
      <c r="J131" s="11"/>
      <c r="K131" s="11"/>
      <c r="L131" s="11"/>
      <c r="M131" s="11"/>
      <c r="N131" s="11"/>
      <c r="O131" s="11"/>
      <c r="P131" s="11"/>
      <c r="Q131" s="11"/>
    </row>
    <row r="132" spans="1:17" ht="15.75" customHeight="1" x14ac:dyDescent="0.3">
      <c r="A132" s="43"/>
      <c r="B132" s="11"/>
      <c r="C132" s="112"/>
      <c r="D132" s="112"/>
      <c r="E132" s="11"/>
      <c r="F132" s="11"/>
      <c r="G132" s="11"/>
      <c r="H132" s="11"/>
      <c r="I132" s="11"/>
      <c r="J132" s="11"/>
      <c r="K132" s="11"/>
      <c r="L132" s="11"/>
      <c r="M132" s="11"/>
      <c r="N132" s="11"/>
      <c r="O132" s="11"/>
      <c r="P132" s="11"/>
      <c r="Q132" s="11"/>
    </row>
    <row r="133" spans="1:17" ht="15.75" customHeight="1" x14ac:dyDescent="0.3">
      <c r="A133" s="43"/>
      <c r="B133" s="11"/>
      <c r="C133" s="112"/>
      <c r="D133" s="112"/>
      <c r="E133" s="11"/>
      <c r="F133" s="11"/>
      <c r="G133" s="11"/>
      <c r="H133" s="11"/>
      <c r="I133" s="11"/>
      <c r="J133" s="11"/>
      <c r="K133" s="11"/>
      <c r="L133" s="11"/>
      <c r="M133" s="11"/>
      <c r="N133" s="11"/>
      <c r="O133" s="11"/>
      <c r="P133" s="11"/>
      <c r="Q133" s="11"/>
    </row>
    <row r="134" spans="1:17" ht="15.75" customHeight="1" x14ac:dyDescent="0.3">
      <c r="A134" s="43"/>
      <c r="B134" s="11"/>
      <c r="C134" s="112"/>
      <c r="D134" s="112"/>
      <c r="E134" s="11"/>
      <c r="F134" s="11"/>
      <c r="G134" s="11"/>
      <c r="H134" s="11"/>
      <c r="I134" s="11"/>
      <c r="J134" s="11"/>
      <c r="K134" s="11"/>
      <c r="L134" s="11"/>
      <c r="M134" s="11"/>
      <c r="N134" s="11"/>
      <c r="O134" s="11"/>
      <c r="P134" s="11"/>
      <c r="Q134" s="11"/>
    </row>
    <row r="135" spans="1:17" ht="15.75" customHeight="1" x14ac:dyDescent="0.3">
      <c r="A135" s="43"/>
      <c r="B135" s="11"/>
      <c r="C135" s="112"/>
      <c r="D135" s="112"/>
      <c r="E135" s="11"/>
      <c r="F135" s="11"/>
      <c r="G135" s="11"/>
      <c r="H135" s="11"/>
      <c r="I135" s="11"/>
      <c r="J135" s="11"/>
      <c r="K135" s="11"/>
      <c r="L135" s="11"/>
      <c r="M135" s="11"/>
      <c r="N135" s="11"/>
      <c r="O135" s="11"/>
      <c r="P135" s="11"/>
      <c r="Q135" s="11"/>
    </row>
    <row r="136" spans="1:17" ht="15.75" customHeight="1" x14ac:dyDescent="0.3">
      <c r="A136" s="43"/>
      <c r="B136" s="11"/>
      <c r="C136" s="112"/>
      <c r="D136" s="112"/>
      <c r="E136" s="11"/>
      <c r="F136" s="11"/>
      <c r="G136" s="11"/>
      <c r="H136" s="11"/>
      <c r="I136" s="11"/>
      <c r="J136" s="11"/>
      <c r="K136" s="11"/>
      <c r="L136" s="11"/>
      <c r="M136" s="11"/>
      <c r="N136" s="11"/>
      <c r="O136" s="11"/>
      <c r="P136" s="11"/>
      <c r="Q136" s="11"/>
    </row>
    <row r="137" spans="1:17" ht="15.75" customHeight="1" x14ac:dyDescent="0.3">
      <c r="A137" s="43"/>
      <c r="B137" s="11"/>
      <c r="C137" s="112"/>
      <c r="D137" s="112"/>
      <c r="E137" s="11"/>
      <c r="F137" s="11"/>
      <c r="G137" s="11"/>
      <c r="H137" s="11"/>
      <c r="I137" s="11"/>
      <c r="J137" s="11"/>
      <c r="K137" s="11"/>
      <c r="L137" s="11"/>
      <c r="M137" s="11"/>
      <c r="N137" s="11"/>
      <c r="O137" s="11"/>
      <c r="P137" s="11"/>
      <c r="Q137" s="11"/>
    </row>
    <row r="138" spans="1:17" ht="15.75" customHeight="1" x14ac:dyDescent="0.3">
      <c r="A138" s="43"/>
      <c r="B138" s="11"/>
      <c r="C138" s="112"/>
      <c r="D138" s="112"/>
      <c r="E138" s="11"/>
      <c r="F138" s="11"/>
      <c r="G138" s="11"/>
      <c r="H138" s="11"/>
      <c r="I138" s="11"/>
      <c r="J138" s="11"/>
      <c r="K138" s="11"/>
      <c r="L138" s="11"/>
      <c r="M138" s="11"/>
      <c r="N138" s="11"/>
      <c r="O138" s="11"/>
      <c r="P138" s="11"/>
      <c r="Q138" s="11"/>
    </row>
    <row r="139" spans="1:17" ht="15.75" customHeight="1" x14ac:dyDescent="0.3">
      <c r="A139" s="43"/>
      <c r="B139" s="11"/>
      <c r="C139" s="112"/>
      <c r="D139" s="112"/>
      <c r="E139" s="11"/>
      <c r="F139" s="11"/>
      <c r="G139" s="11"/>
      <c r="H139" s="11"/>
      <c r="I139" s="11"/>
      <c r="J139" s="11"/>
      <c r="K139" s="11"/>
      <c r="L139" s="11"/>
      <c r="M139" s="11"/>
      <c r="N139" s="11"/>
      <c r="O139" s="11"/>
      <c r="P139" s="11"/>
      <c r="Q139" s="11"/>
    </row>
    <row r="140" spans="1:17" ht="15.75" customHeight="1" x14ac:dyDescent="0.3">
      <c r="A140" s="43"/>
      <c r="B140" s="11"/>
      <c r="C140" s="112"/>
      <c r="D140" s="112"/>
      <c r="E140" s="11"/>
      <c r="F140" s="11"/>
      <c r="G140" s="11"/>
      <c r="H140" s="11"/>
      <c r="I140" s="11"/>
      <c r="J140" s="11"/>
      <c r="K140" s="11"/>
      <c r="L140" s="11"/>
      <c r="M140" s="11"/>
      <c r="N140" s="11"/>
      <c r="O140" s="11"/>
      <c r="P140" s="11"/>
      <c r="Q140" s="11"/>
    </row>
    <row r="141" spans="1:17" ht="15.75" customHeight="1" x14ac:dyDescent="0.3">
      <c r="A141" s="43"/>
      <c r="B141" s="11"/>
      <c r="C141" s="112"/>
      <c r="D141" s="112"/>
      <c r="E141" s="11"/>
      <c r="F141" s="11"/>
      <c r="G141" s="11"/>
      <c r="H141" s="11"/>
      <c r="I141" s="11"/>
      <c r="J141" s="11"/>
      <c r="K141" s="11"/>
      <c r="L141" s="11"/>
      <c r="M141" s="11"/>
      <c r="N141" s="11"/>
      <c r="O141" s="11"/>
      <c r="P141" s="11"/>
      <c r="Q141" s="11"/>
    </row>
    <row r="142" spans="1:17" ht="15.75" customHeight="1" x14ac:dyDescent="0.3">
      <c r="A142" s="43"/>
      <c r="B142" s="11"/>
      <c r="C142" s="112"/>
      <c r="D142" s="112"/>
      <c r="E142" s="11"/>
      <c r="F142" s="11"/>
      <c r="G142" s="11"/>
      <c r="H142" s="11"/>
      <c r="I142" s="11"/>
      <c r="J142" s="11"/>
      <c r="K142" s="11"/>
      <c r="L142" s="11"/>
      <c r="M142" s="11"/>
      <c r="N142" s="11"/>
      <c r="O142" s="11"/>
      <c r="P142" s="11"/>
      <c r="Q142" s="11"/>
    </row>
    <row r="143" spans="1:17" ht="15.75" customHeight="1" x14ac:dyDescent="0.3">
      <c r="A143" s="43"/>
      <c r="B143" s="11"/>
      <c r="C143" s="112"/>
      <c r="D143" s="112"/>
      <c r="E143" s="11"/>
      <c r="F143" s="11"/>
      <c r="G143" s="11"/>
      <c r="H143" s="11"/>
      <c r="I143" s="11"/>
      <c r="J143" s="11"/>
      <c r="K143" s="11"/>
      <c r="L143" s="11"/>
      <c r="M143" s="11"/>
      <c r="N143" s="11"/>
      <c r="O143" s="11"/>
      <c r="P143" s="11"/>
      <c r="Q143" s="11"/>
    </row>
    <row r="144" spans="1:17" ht="15.75" customHeight="1" x14ac:dyDescent="0.3">
      <c r="A144" s="43"/>
      <c r="B144" s="11"/>
      <c r="C144" s="112"/>
      <c r="D144" s="112"/>
      <c r="E144" s="11"/>
      <c r="F144" s="11"/>
      <c r="G144" s="11"/>
      <c r="H144" s="11"/>
      <c r="I144" s="11"/>
      <c r="J144" s="11"/>
      <c r="K144" s="11"/>
      <c r="L144" s="11"/>
      <c r="M144" s="11"/>
      <c r="N144" s="11"/>
      <c r="O144" s="11"/>
      <c r="P144" s="11"/>
      <c r="Q144" s="11"/>
    </row>
    <row r="145" spans="1:17" ht="15.75" customHeight="1" x14ac:dyDescent="0.3">
      <c r="A145" s="43"/>
      <c r="B145" s="11"/>
      <c r="C145" s="112"/>
      <c r="D145" s="112"/>
      <c r="E145" s="11"/>
      <c r="F145" s="11"/>
      <c r="G145" s="11"/>
      <c r="H145" s="11"/>
      <c r="I145" s="11"/>
      <c r="J145" s="11"/>
      <c r="K145" s="11"/>
      <c r="L145" s="11"/>
      <c r="M145" s="11"/>
      <c r="N145" s="11"/>
      <c r="O145" s="11"/>
      <c r="P145" s="11"/>
      <c r="Q145" s="11"/>
    </row>
    <row r="146" spans="1:17" ht="15.75" customHeight="1" x14ac:dyDescent="0.3">
      <c r="A146" s="43"/>
      <c r="B146" s="11"/>
      <c r="C146" s="112"/>
      <c r="D146" s="112"/>
      <c r="E146" s="11"/>
      <c r="F146" s="11"/>
      <c r="G146" s="11"/>
      <c r="H146" s="11"/>
      <c r="I146" s="11"/>
      <c r="J146" s="11"/>
      <c r="K146" s="11"/>
      <c r="L146" s="11"/>
      <c r="M146" s="11"/>
      <c r="N146" s="11"/>
      <c r="O146" s="11"/>
      <c r="P146" s="11"/>
      <c r="Q146" s="11"/>
    </row>
    <row r="147" spans="1:17" ht="15.75" customHeight="1" x14ac:dyDescent="0.3">
      <c r="A147" s="43"/>
      <c r="B147" s="11"/>
      <c r="C147" s="112"/>
      <c r="D147" s="112"/>
      <c r="E147" s="11"/>
      <c r="F147" s="11"/>
      <c r="G147" s="11"/>
      <c r="H147" s="11"/>
      <c r="I147" s="11"/>
      <c r="J147" s="11"/>
      <c r="K147" s="11"/>
      <c r="L147" s="11"/>
      <c r="M147" s="11"/>
      <c r="N147" s="11"/>
      <c r="O147" s="11"/>
      <c r="P147" s="11"/>
      <c r="Q147" s="11"/>
    </row>
    <row r="148" spans="1:17" ht="15.75" customHeight="1" x14ac:dyDescent="0.3">
      <c r="A148" s="43"/>
      <c r="B148" s="11"/>
      <c r="C148" s="112"/>
      <c r="D148" s="112"/>
      <c r="E148" s="11"/>
      <c r="F148" s="11"/>
      <c r="G148" s="11"/>
      <c r="H148" s="11"/>
      <c r="I148" s="11"/>
      <c r="J148" s="11"/>
      <c r="K148" s="11"/>
      <c r="L148" s="11"/>
      <c r="M148" s="11"/>
      <c r="N148" s="11"/>
      <c r="O148" s="11"/>
      <c r="P148" s="11"/>
      <c r="Q148" s="11"/>
    </row>
    <row r="149" spans="1:17" ht="15.75" customHeight="1" x14ac:dyDescent="0.3">
      <c r="A149" s="43"/>
      <c r="B149" s="11"/>
      <c r="C149" s="112"/>
      <c r="D149" s="112"/>
      <c r="E149" s="11"/>
      <c r="F149" s="11"/>
      <c r="G149" s="11"/>
      <c r="H149" s="11"/>
      <c r="I149" s="11"/>
      <c r="J149" s="11"/>
      <c r="K149" s="11"/>
      <c r="L149" s="11"/>
      <c r="M149" s="11"/>
      <c r="N149" s="11"/>
      <c r="O149" s="11"/>
      <c r="P149" s="11"/>
      <c r="Q149" s="11"/>
    </row>
    <row r="150" spans="1:17" ht="15.75" customHeight="1" x14ac:dyDescent="0.3">
      <c r="A150" s="43"/>
      <c r="B150" s="11"/>
      <c r="C150" s="112"/>
      <c r="D150" s="112"/>
      <c r="E150" s="11"/>
      <c r="F150" s="11"/>
      <c r="G150" s="11"/>
      <c r="H150" s="11"/>
      <c r="I150" s="11"/>
      <c r="J150" s="11"/>
      <c r="K150" s="11"/>
      <c r="L150" s="11"/>
      <c r="M150" s="11"/>
      <c r="N150" s="11"/>
      <c r="O150" s="11"/>
      <c r="P150" s="11"/>
      <c r="Q150" s="11"/>
    </row>
    <row r="151" spans="1:17" ht="15.75" customHeight="1" x14ac:dyDescent="0.3">
      <c r="A151" s="43"/>
      <c r="B151" s="11"/>
      <c r="C151" s="112"/>
      <c r="D151" s="112"/>
      <c r="E151" s="11"/>
      <c r="F151" s="11"/>
      <c r="G151" s="11"/>
      <c r="H151" s="11"/>
      <c r="I151" s="11"/>
      <c r="J151" s="11"/>
      <c r="K151" s="11"/>
      <c r="L151" s="11"/>
      <c r="M151" s="11"/>
      <c r="N151" s="11"/>
      <c r="O151" s="11"/>
      <c r="P151" s="11"/>
      <c r="Q151" s="11"/>
    </row>
    <row r="152" spans="1:17" ht="15.75" customHeight="1" x14ac:dyDescent="0.3">
      <c r="A152" s="43"/>
      <c r="B152" s="11"/>
      <c r="C152" s="112"/>
      <c r="D152" s="112"/>
      <c r="E152" s="11"/>
      <c r="F152" s="11"/>
      <c r="G152" s="11"/>
      <c r="H152" s="11"/>
      <c r="I152" s="11"/>
      <c r="J152" s="11"/>
      <c r="K152" s="11"/>
      <c r="L152" s="11"/>
      <c r="M152" s="11"/>
      <c r="N152" s="11"/>
      <c r="O152" s="11"/>
      <c r="P152" s="11"/>
      <c r="Q152" s="11"/>
    </row>
    <row r="153" spans="1:17" ht="15.75" customHeight="1" x14ac:dyDescent="0.3">
      <c r="A153" s="43"/>
      <c r="B153" s="11"/>
      <c r="C153" s="112"/>
      <c r="D153" s="112"/>
      <c r="E153" s="11"/>
      <c r="F153" s="11"/>
      <c r="G153" s="11"/>
      <c r="H153" s="11"/>
      <c r="I153" s="11"/>
      <c r="J153" s="11"/>
      <c r="K153" s="11"/>
      <c r="L153" s="11"/>
      <c r="M153" s="11"/>
      <c r="N153" s="11"/>
      <c r="O153" s="11"/>
      <c r="P153" s="11"/>
      <c r="Q153" s="11"/>
    </row>
    <row r="154" spans="1:17" ht="15.75" customHeight="1" x14ac:dyDescent="0.3">
      <c r="A154" s="43"/>
      <c r="B154" s="11"/>
      <c r="C154" s="112"/>
      <c r="D154" s="112"/>
      <c r="E154" s="11"/>
      <c r="F154" s="11"/>
      <c r="G154" s="11"/>
      <c r="H154" s="11"/>
      <c r="I154" s="11"/>
      <c r="J154" s="11"/>
      <c r="K154" s="11"/>
      <c r="L154" s="11"/>
      <c r="M154" s="11"/>
      <c r="N154" s="11"/>
      <c r="O154" s="11"/>
      <c r="P154" s="11"/>
      <c r="Q154" s="11"/>
    </row>
    <row r="155" spans="1:17" ht="15.75" customHeight="1" x14ac:dyDescent="0.3">
      <c r="A155" s="43"/>
      <c r="B155" s="11"/>
      <c r="C155" s="112"/>
      <c r="D155" s="112"/>
      <c r="E155" s="11"/>
      <c r="F155" s="11"/>
      <c r="G155" s="11"/>
      <c r="H155" s="11"/>
      <c r="I155" s="11"/>
      <c r="J155" s="11"/>
      <c r="K155" s="11"/>
      <c r="L155" s="11"/>
      <c r="M155" s="11"/>
      <c r="N155" s="11"/>
      <c r="O155" s="11"/>
      <c r="P155" s="11"/>
      <c r="Q155" s="11"/>
    </row>
    <row r="156" spans="1:17" ht="15.75" customHeight="1" x14ac:dyDescent="0.3">
      <c r="A156" s="43"/>
      <c r="B156" s="11"/>
      <c r="C156" s="112"/>
      <c r="D156" s="112"/>
      <c r="E156" s="11"/>
      <c r="F156" s="11"/>
      <c r="G156" s="11"/>
      <c r="H156" s="11"/>
      <c r="I156" s="11"/>
      <c r="J156" s="11"/>
      <c r="K156" s="11"/>
      <c r="L156" s="11"/>
      <c r="M156" s="11"/>
      <c r="N156" s="11"/>
      <c r="O156" s="11"/>
      <c r="P156" s="11"/>
      <c r="Q156" s="11"/>
    </row>
    <row r="157" spans="1:17" ht="15.75" customHeight="1" x14ac:dyDescent="0.3">
      <c r="A157" s="43"/>
      <c r="B157" s="11"/>
      <c r="C157" s="112"/>
      <c r="D157" s="112"/>
      <c r="E157" s="11"/>
      <c r="F157" s="11"/>
      <c r="G157" s="11"/>
      <c r="H157" s="11"/>
      <c r="I157" s="11"/>
      <c r="J157" s="11"/>
      <c r="K157" s="11"/>
      <c r="L157" s="11"/>
      <c r="M157" s="11"/>
      <c r="N157" s="11"/>
      <c r="O157" s="11"/>
      <c r="P157" s="11"/>
      <c r="Q157" s="11"/>
    </row>
    <row r="158" spans="1:17" ht="15.75" customHeight="1" x14ac:dyDescent="0.3">
      <c r="A158" s="43"/>
      <c r="B158" s="11"/>
      <c r="C158" s="112"/>
      <c r="D158" s="112"/>
      <c r="E158" s="11"/>
      <c r="F158" s="11"/>
      <c r="G158" s="11"/>
      <c r="H158" s="11"/>
      <c r="I158" s="11"/>
      <c r="J158" s="11"/>
      <c r="K158" s="11"/>
      <c r="L158" s="11"/>
      <c r="M158" s="11"/>
      <c r="N158" s="11"/>
      <c r="O158" s="11"/>
      <c r="P158" s="11"/>
      <c r="Q158" s="11"/>
    </row>
    <row r="159" spans="1:17" ht="15.75" customHeight="1" x14ac:dyDescent="0.3">
      <c r="A159" s="43"/>
      <c r="B159" s="11"/>
      <c r="C159" s="112"/>
      <c r="D159" s="112"/>
      <c r="E159" s="11"/>
      <c r="F159" s="11"/>
      <c r="G159" s="11"/>
      <c r="H159" s="11"/>
      <c r="I159" s="11"/>
      <c r="J159" s="11"/>
      <c r="K159" s="11"/>
      <c r="L159" s="11"/>
      <c r="M159" s="11"/>
      <c r="N159" s="11"/>
      <c r="O159" s="11"/>
      <c r="P159" s="11"/>
      <c r="Q159" s="11"/>
    </row>
    <row r="160" spans="1:17" ht="15.75" customHeight="1" x14ac:dyDescent="0.3">
      <c r="A160" s="43"/>
      <c r="B160" s="11"/>
      <c r="C160" s="112"/>
      <c r="D160" s="112"/>
      <c r="E160" s="11"/>
      <c r="F160" s="11"/>
      <c r="G160" s="11"/>
      <c r="H160" s="11"/>
      <c r="I160" s="11"/>
      <c r="J160" s="11"/>
      <c r="K160" s="11"/>
      <c r="L160" s="11"/>
      <c r="M160" s="11"/>
      <c r="N160" s="11"/>
      <c r="O160" s="11"/>
      <c r="P160" s="11"/>
      <c r="Q160" s="11"/>
    </row>
    <row r="161" spans="1:17" ht="15.75" customHeight="1" x14ac:dyDescent="0.3">
      <c r="A161" s="43"/>
      <c r="B161" s="11"/>
      <c r="C161" s="112"/>
      <c r="D161" s="112"/>
      <c r="E161" s="11"/>
      <c r="F161" s="11"/>
      <c r="G161" s="11"/>
      <c r="H161" s="11"/>
      <c r="I161" s="11"/>
      <c r="J161" s="11"/>
      <c r="K161" s="11"/>
      <c r="L161" s="11"/>
      <c r="M161" s="11"/>
      <c r="N161" s="11"/>
      <c r="O161" s="11"/>
      <c r="P161" s="11"/>
      <c r="Q161" s="11"/>
    </row>
    <row r="162" spans="1:17" ht="15.75" customHeight="1" x14ac:dyDescent="0.3">
      <c r="A162" s="43"/>
      <c r="B162" s="11"/>
      <c r="C162" s="112"/>
      <c r="D162" s="112"/>
      <c r="E162" s="11"/>
      <c r="F162" s="11"/>
      <c r="G162" s="11"/>
      <c r="H162" s="11"/>
      <c r="I162" s="11"/>
      <c r="J162" s="11"/>
      <c r="K162" s="11"/>
      <c r="L162" s="11"/>
      <c r="M162" s="11"/>
      <c r="N162" s="11"/>
      <c r="O162" s="11"/>
      <c r="P162" s="11"/>
      <c r="Q162" s="11"/>
    </row>
    <row r="163" spans="1:17" ht="15.75" customHeight="1" x14ac:dyDescent="0.3">
      <c r="A163" s="43"/>
      <c r="B163" s="11"/>
      <c r="C163" s="112"/>
      <c r="D163" s="112"/>
      <c r="E163" s="11"/>
      <c r="F163" s="11"/>
      <c r="G163" s="11"/>
      <c r="H163" s="11"/>
      <c r="I163" s="11"/>
      <c r="J163" s="11"/>
      <c r="K163" s="11"/>
      <c r="L163" s="11"/>
      <c r="M163" s="11"/>
      <c r="N163" s="11"/>
      <c r="O163" s="11"/>
      <c r="P163" s="11"/>
      <c r="Q163" s="11"/>
    </row>
    <row r="164" spans="1:17" ht="15.75" customHeight="1" x14ac:dyDescent="0.3">
      <c r="A164" s="43"/>
      <c r="B164" s="11"/>
      <c r="C164" s="112"/>
      <c r="D164" s="112"/>
      <c r="E164" s="11"/>
      <c r="F164" s="11"/>
      <c r="G164" s="11"/>
      <c r="H164" s="11"/>
      <c r="I164" s="11"/>
      <c r="J164" s="11"/>
      <c r="K164" s="11"/>
      <c r="L164" s="11"/>
      <c r="M164" s="11"/>
      <c r="N164" s="11"/>
      <c r="O164" s="11"/>
      <c r="P164" s="11"/>
      <c r="Q164" s="11"/>
    </row>
    <row r="165" spans="1:17" ht="15.75" customHeight="1" x14ac:dyDescent="0.3">
      <c r="A165" s="43"/>
      <c r="B165" s="11"/>
      <c r="C165" s="112"/>
      <c r="D165" s="112"/>
      <c r="E165" s="11"/>
      <c r="F165" s="11"/>
      <c r="G165" s="11"/>
      <c r="H165" s="11"/>
      <c r="I165" s="11"/>
      <c r="J165" s="11"/>
      <c r="K165" s="11"/>
      <c r="L165" s="11"/>
      <c r="M165" s="11"/>
      <c r="N165" s="11"/>
      <c r="O165" s="11"/>
      <c r="P165" s="11"/>
      <c r="Q165" s="11"/>
    </row>
    <row r="166" spans="1:17" ht="15" customHeight="1" x14ac:dyDescent="0.3">
      <c r="A166" s="43"/>
      <c r="B166" s="11"/>
      <c r="C166" s="112"/>
      <c r="D166" s="112"/>
      <c r="E166" s="11"/>
      <c r="F166" s="11"/>
      <c r="G166" s="11"/>
      <c r="H166" s="11"/>
      <c r="I166" s="11"/>
    </row>
  </sheetData>
  <mergeCells count="16">
    <mergeCell ref="A1:B2"/>
    <mergeCell ref="F1:I1"/>
    <mergeCell ref="F2:I2"/>
    <mergeCell ref="F81:H81"/>
    <mergeCell ref="B84:I84"/>
    <mergeCell ref="B82:I82"/>
    <mergeCell ref="B83:I83"/>
    <mergeCell ref="B78:D78"/>
    <mergeCell ref="F78:H78"/>
    <mergeCell ref="A3:I3"/>
    <mergeCell ref="D79:I79"/>
    <mergeCell ref="B89:I89"/>
    <mergeCell ref="B86:I86"/>
    <mergeCell ref="B87:I87"/>
    <mergeCell ref="B88:I88"/>
    <mergeCell ref="F85:H85"/>
  </mergeCells>
  <pageMargins left="0.19685039370078741" right="0.19685039370078741" top="0.39370078740157483" bottom="0.39370078740157483" header="0" footer="0"/>
  <pageSetup scale="7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E22A9-E31C-43FE-BD9F-81C4C132233D}">
  <dimension ref="A1:Z980"/>
  <sheetViews>
    <sheetView tabSelected="1" topLeftCell="A35" workbookViewId="0">
      <selection activeCell="B31" sqref="B31:D31"/>
    </sheetView>
  </sheetViews>
  <sheetFormatPr defaultColWidth="14.44140625" defaultRowHeight="14.4" x14ac:dyDescent="0.3"/>
  <cols>
    <col min="1" max="1" width="5" style="169" customWidth="1"/>
    <col min="2" max="2" width="40.33203125" style="160" customWidth="1"/>
    <col min="3" max="3" width="22.88671875" style="160" customWidth="1"/>
    <col min="4" max="4" width="16.109375" style="160" customWidth="1"/>
    <col min="5" max="5" width="13.109375" style="160" customWidth="1"/>
    <col min="6" max="7" width="12.109375" style="160" customWidth="1"/>
    <col min="8" max="8" width="17.6640625" style="160" customWidth="1"/>
    <col min="9" max="9" width="7.5546875" style="160" customWidth="1"/>
    <col min="10" max="26" width="8.88671875" style="160" customWidth="1"/>
    <col min="27" max="16384" width="14.44140625" style="160"/>
  </cols>
  <sheetData>
    <row r="1" spans="1:26" ht="15" customHeight="1" x14ac:dyDescent="0.3">
      <c r="A1" s="255"/>
      <c r="B1" s="256"/>
      <c r="C1" s="256"/>
      <c r="D1" s="256"/>
      <c r="E1" s="256"/>
      <c r="F1" s="256"/>
      <c r="G1" s="256"/>
      <c r="H1" s="257" t="s">
        <v>374</v>
      </c>
      <c r="I1" s="257"/>
      <c r="J1" s="159"/>
      <c r="K1" s="159"/>
      <c r="L1" s="159"/>
      <c r="M1" s="159"/>
      <c r="N1" s="159"/>
      <c r="O1" s="159"/>
      <c r="P1" s="159"/>
      <c r="Q1" s="159"/>
      <c r="R1" s="159"/>
      <c r="S1" s="159"/>
      <c r="T1" s="159"/>
      <c r="U1" s="159"/>
      <c r="V1" s="159"/>
      <c r="W1" s="159"/>
      <c r="X1" s="159"/>
      <c r="Y1" s="159"/>
      <c r="Z1" s="159"/>
    </row>
    <row r="2" spans="1:26" ht="18" customHeight="1" x14ac:dyDescent="0.3">
      <c r="A2" s="258" t="s">
        <v>375</v>
      </c>
      <c r="B2" s="258"/>
      <c r="C2" s="259"/>
      <c r="D2" s="259"/>
      <c r="E2" s="260"/>
      <c r="F2" s="261" t="s">
        <v>0</v>
      </c>
      <c r="G2" s="246"/>
      <c r="H2" s="246"/>
      <c r="I2" s="246"/>
      <c r="J2" s="159"/>
      <c r="K2" s="159"/>
      <c r="L2" s="159"/>
      <c r="M2" s="159"/>
      <c r="N2" s="159"/>
      <c r="O2" s="159"/>
      <c r="P2" s="159"/>
      <c r="Q2" s="159"/>
      <c r="R2" s="159"/>
      <c r="S2" s="159"/>
      <c r="T2" s="159"/>
      <c r="U2" s="159"/>
      <c r="V2" s="159"/>
      <c r="W2" s="159"/>
      <c r="X2" s="159"/>
      <c r="Y2" s="159"/>
      <c r="Z2" s="159"/>
    </row>
    <row r="3" spans="1:26" ht="24.75" customHeight="1" x14ac:dyDescent="0.3">
      <c r="A3" s="258"/>
      <c r="B3" s="258"/>
      <c r="C3" s="259"/>
      <c r="D3" s="259"/>
      <c r="E3" s="260"/>
      <c r="F3" s="262" t="s">
        <v>102</v>
      </c>
      <c r="G3" s="247"/>
      <c r="H3" s="247"/>
      <c r="I3" s="247"/>
      <c r="J3" s="159"/>
      <c r="K3" s="159"/>
      <c r="L3" s="159"/>
      <c r="M3" s="159"/>
      <c r="N3" s="159"/>
      <c r="O3" s="159"/>
      <c r="P3" s="159"/>
      <c r="Q3" s="159"/>
      <c r="R3" s="159"/>
      <c r="S3" s="159"/>
      <c r="T3" s="159"/>
      <c r="U3" s="159"/>
      <c r="V3" s="159"/>
      <c r="W3" s="159"/>
      <c r="X3" s="159"/>
      <c r="Y3" s="159"/>
      <c r="Z3" s="159"/>
    </row>
    <row r="4" spans="1:26" ht="23.25" customHeight="1" x14ac:dyDescent="0.3">
      <c r="A4" s="263" t="s">
        <v>358</v>
      </c>
      <c r="B4" s="246"/>
      <c r="C4" s="246"/>
      <c r="D4" s="246"/>
      <c r="E4" s="246"/>
      <c r="F4" s="246"/>
      <c r="G4" s="246"/>
      <c r="H4" s="246"/>
      <c r="I4" s="246"/>
      <c r="J4" s="159"/>
      <c r="K4" s="159"/>
      <c r="L4" s="159"/>
      <c r="M4" s="159"/>
      <c r="N4" s="159"/>
      <c r="O4" s="159"/>
      <c r="P4" s="159"/>
      <c r="Q4" s="159"/>
      <c r="R4" s="159"/>
      <c r="S4" s="159"/>
      <c r="T4" s="159"/>
      <c r="U4" s="159"/>
      <c r="V4" s="159"/>
      <c r="W4" s="159"/>
      <c r="X4" s="159"/>
      <c r="Y4" s="159"/>
      <c r="Z4" s="159"/>
    </row>
    <row r="5" spans="1:26" ht="18" customHeight="1" x14ac:dyDescent="0.3">
      <c r="A5" s="264" t="s">
        <v>376</v>
      </c>
      <c r="B5" s="246"/>
      <c r="C5" s="246"/>
      <c r="D5" s="246"/>
      <c r="E5" s="246"/>
      <c r="F5" s="246"/>
      <c r="G5" s="246"/>
      <c r="H5" s="246"/>
      <c r="I5" s="246"/>
      <c r="J5" s="159"/>
      <c r="K5" s="159"/>
      <c r="L5" s="159"/>
      <c r="M5" s="159"/>
      <c r="N5" s="159"/>
      <c r="O5" s="159"/>
      <c r="P5" s="159"/>
      <c r="Q5" s="159"/>
      <c r="R5" s="159"/>
      <c r="S5" s="159"/>
      <c r="T5" s="159"/>
      <c r="U5" s="159"/>
      <c r="V5" s="159"/>
      <c r="W5" s="159"/>
      <c r="X5" s="159"/>
      <c r="Y5" s="159"/>
      <c r="Z5" s="159"/>
    </row>
    <row r="6" spans="1:26" ht="24" customHeight="1" x14ac:dyDescent="0.3">
      <c r="A6" s="163"/>
      <c r="B6" s="265" t="s">
        <v>359</v>
      </c>
      <c r="C6" s="266"/>
      <c r="D6" s="266"/>
      <c r="E6" s="266"/>
      <c r="F6" s="266"/>
      <c r="G6" s="266"/>
      <c r="H6" s="266"/>
      <c r="I6" s="267"/>
      <c r="J6" s="159"/>
      <c r="K6" s="159"/>
      <c r="L6" s="159"/>
      <c r="M6" s="159"/>
      <c r="N6" s="159"/>
      <c r="O6" s="159"/>
      <c r="P6" s="159"/>
      <c r="Q6" s="159"/>
      <c r="R6" s="159"/>
      <c r="S6" s="159"/>
      <c r="T6" s="159"/>
      <c r="U6" s="159"/>
      <c r="V6" s="159"/>
      <c r="W6" s="159"/>
      <c r="X6" s="159"/>
      <c r="Y6" s="159"/>
      <c r="Z6" s="159"/>
    </row>
    <row r="7" spans="1:26" ht="24" customHeight="1" x14ac:dyDescent="0.3">
      <c r="A7" s="163"/>
      <c r="B7" s="265" t="s">
        <v>360</v>
      </c>
      <c r="C7" s="266"/>
      <c r="D7" s="266"/>
      <c r="E7" s="266"/>
      <c r="F7" s="266"/>
      <c r="G7" s="266"/>
      <c r="H7" s="266"/>
      <c r="I7" s="267"/>
      <c r="J7" s="159"/>
      <c r="K7" s="159"/>
      <c r="L7" s="159"/>
      <c r="M7" s="159"/>
      <c r="N7" s="159"/>
      <c r="O7" s="159"/>
      <c r="P7" s="159"/>
      <c r="Q7" s="159"/>
      <c r="R7" s="159"/>
      <c r="S7" s="159"/>
      <c r="T7" s="159"/>
      <c r="U7" s="159"/>
      <c r="V7" s="159"/>
      <c r="W7" s="159"/>
      <c r="X7" s="159"/>
      <c r="Y7" s="159"/>
      <c r="Z7" s="159"/>
    </row>
    <row r="8" spans="1:26" ht="24" customHeight="1" x14ac:dyDescent="0.3">
      <c r="A8" s="163"/>
      <c r="B8" s="265" t="s">
        <v>361</v>
      </c>
      <c r="C8" s="266"/>
      <c r="D8" s="266"/>
      <c r="E8" s="266"/>
      <c r="F8" s="266"/>
      <c r="G8" s="266"/>
      <c r="H8" s="266"/>
      <c r="I8" s="267"/>
      <c r="J8" s="159"/>
      <c r="K8" s="159"/>
      <c r="L8" s="159"/>
      <c r="M8" s="159"/>
      <c r="N8" s="159"/>
      <c r="O8" s="159"/>
      <c r="P8" s="159"/>
      <c r="Q8" s="159"/>
      <c r="R8" s="159"/>
      <c r="S8" s="159"/>
      <c r="T8" s="159"/>
      <c r="U8" s="159"/>
      <c r="V8" s="159"/>
      <c r="W8" s="159"/>
      <c r="X8" s="159"/>
      <c r="Y8" s="159"/>
      <c r="Z8" s="159"/>
    </row>
    <row r="9" spans="1:26" ht="24" customHeight="1" x14ac:dyDescent="0.3">
      <c r="A9" s="163"/>
      <c r="B9" s="265" t="s">
        <v>362</v>
      </c>
      <c r="C9" s="266"/>
      <c r="D9" s="266"/>
      <c r="E9" s="266"/>
      <c r="F9" s="266"/>
      <c r="G9" s="266"/>
      <c r="H9" s="266"/>
      <c r="I9" s="267"/>
      <c r="J9" s="159"/>
      <c r="K9" s="159"/>
      <c r="L9" s="159"/>
      <c r="M9" s="159"/>
      <c r="N9" s="159"/>
      <c r="O9" s="159"/>
      <c r="P9" s="159"/>
      <c r="Q9" s="159"/>
      <c r="R9" s="159"/>
      <c r="S9" s="159"/>
      <c r="T9" s="159"/>
      <c r="U9" s="159"/>
      <c r="V9" s="159"/>
      <c r="W9" s="159"/>
      <c r="X9" s="159"/>
      <c r="Y9" s="159"/>
      <c r="Z9" s="159"/>
    </row>
    <row r="10" spans="1:26" ht="24" customHeight="1" x14ac:dyDescent="0.3">
      <c r="A10" s="163"/>
      <c r="B10" s="268" t="s">
        <v>363</v>
      </c>
      <c r="C10" s="266"/>
      <c r="D10" s="266"/>
      <c r="E10" s="266"/>
      <c r="F10" s="266"/>
      <c r="G10" s="266"/>
      <c r="H10" s="266"/>
      <c r="I10" s="267"/>
      <c r="J10" s="159"/>
      <c r="K10" s="159"/>
      <c r="L10" s="159"/>
      <c r="M10" s="159"/>
      <c r="N10" s="159"/>
      <c r="O10" s="159"/>
      <c r="P10" s="159"/>
      <c r="Q10" s="159"/>
      <c r="R10" s="159"/>
      <c r="S10" s="159"/>
      <c r="T10" s="159"/>
      <c r="U10" s="159"/>
      <c r="V10" s="159"/>
      <c r="W10" s="159"/>
      <c r="X10" s="159"/>
      <c r="Y10" s="159"/>
      <c r="Z10" s="159"/>
    </row>
    <row r="11" spans="1:26" ht="28.5" customHeight="1" x14ac:dyDescent="0.3">
      <c r="A11" s="163"/>
      <c r="B11" s="269" t="s">
        <v>110</v>
      </c>
      <c r="C11" s="246"/>
      <c r="D11" s="246"/>
      <c r="E11" s="246"/>
      <c r="F11" s="246"/>
      <c r="G11" s="246"/>
      <c r="H11" s="246"/>
      <c r="I11" s="246"/>
      <c r="J11" s="159"/>
      <c r="K11" s="159"/>
      <c r="L11" s="159"/>
      <c r="M11" s="159"/>
      <c r="N11" s="159"/>
      <c r="O11" s="159"/>
      <c r="P11" s="159"/>
      <c r="Q11" s="159"/>
      <c r="R11" s="159"/>
      <c r="S11" s="159"/>
      <c r="T11" s="159"/>
      <c r="U11" s="159"/>
      <c r="V11" s="159"/>
      <c r="W11" s="159"/>
      <c r="X11" s="159"/>
      <c r="Y11" s="159"/>
      <c r="Z11" s="159"/>
    </row>
    <row r="12" spans="1:26" ht="28.5" customHeight="1" x14ac:dyDescent="0.3">
      <c r="A12" s="163"/>
      <c r="B12" s="270" t="s">
        <v>111</v>
      </c>
      <c r="C12" s="246"/>
      <c r="D12" s="246"/>
      <c r="E12" s="246"/>
      <c r="F12" s="246"/>
      <c r="G12" s="246"/>
      <c r="H12" s="246"/>
      <c r="I12" s="246"/>
      <c r="J12" s="159"/>
      <c r="K12" s="159"/>
      <c r="L12" s="159"/>
      <c r="M12" s="159"/>
      <c r="N12" s="159"/>
      <c r="O12" s="159"/>
      <c r="P12" s="159"/>
      <c r="Q12" s="159"/>
      <c r="R12" s="159"/>
      <c r="S12" s="159"/>
      <c r="T12" s="159"/>
      <c r="U12" s="159"/>
      <c r="V12" s="159"/>
      <c r="W12" s="159"/>
      <c r="X12" s="159"/>
      <c r="Y12" s="159"/>
      <c r="Z12" s="159"/>
    </row>
    <row r="13" spans="1:26" ht="24.75" customHeight="1" x14ac:dyDescent="0.3">
      <c r="A13" s="271" t="s">
        <v>193</v>
      </c>
      <c r="B13" s="272" t="s">
        <v>377</v>
      </c>
      <c r="C13" s="273"/>
      <c r="D13" s="273"/>
      <c r="E13" s="273"/>
      <c r="F13" s="273"/>
      <c r="G13" s="273"/>
      <c r="H13" s="273"/>
      <c r="I13" s="273"/>
    </row>
    <row r="14" spans="1:26" ht="101.25" customHeight="1" x14ac:dyDescent="0.3">
      <c r="A14" s="271" t="s">
        <v>1</v>
      </c>
      <c r="B14" s="274" t="s">
        <v>113</v>
      </c>
      <c r="C14" s="273"/>
      <c r="D14" s="273"/>
      <c r="E14" s="271" t="s">
        <v>114</v>
      </c>
      <c r="F14" s="271" t="s">
        <v>115</v>
      </c>
      <c r="G14" s="271" t="s">
        <v>116</v>
      </c>
      <c r="H14" s="271" t="s">
        <v>117</v>
      </c>
      <c r="I14" s="271" t="s">
        <v>118</v>
      </c>
    </row>
    <row r="15" spans="1:26" ht="37.5" customHeight="1" x14ac:dyDescent="0.3">
      <c r="A15" s="271">
        <v>1</v>
      </c>
      <c r="B15" s="275" t="s">
        <v>119</v>
      </c>
      <c r="C15" s="276"/>
      <c r="D15" s="276"/>
      <c r="E15" s="277"/>
      <c r="F15" s="277"/>
      <c r="G15" s="278">
        <f>SUM(G16:G24)</f>
        <v>18</v>
      </c>
      <c r="H15" s="278">
        <f>SUM(H16:H24)</f>
        <v>0</v>
      </c>
      <c r="I15" s="271"/>
    </row>
    <row r="16" spans="1:26" ht="95.25" customHeight="1" x14ac:dyDescent="0.3">
      <c r="A16" s="279" t="s">
        <v>120</v>
      </c>
      <c r="B16" s="280" t="s">
        <v>121</v>
      </c>
      <c r="C16" s="276"/>
      <c r="D16" s="276"/>
      <c r="E16" s="279"/>
      <c r="F16" s="279"/>
      <c r="G16" s="279">
        <v>2</v>
      </c>
      <c r="H16" s="304"/>
      <c r="I16" s="281"/>
    </row>
    <row r="17" spans="1:9" ht="67.5" customHeight="1" x14ac:dyDescent="0.3">
      <c r="A17" s="279" t="s">
        <v>122</v>
      </c>
      <c r="B17" s="280" t="s">
        <v>123</v>
      </c>
      <c r="C17" s="276"/>
      <c r="D17" s="276"/>
      <c r="E17" s="279"/>
      <c r="F17" s="279"/>
      <c r="G17" s="279">
        <v>2</v>
      </c>
      <c r="H17" s="304"/>
      <c r="I17" s="281"/>
    </row>
    <row r="18" spans="1:9" ht="79.5" customHeight="1" x14ac:dyDescent="0.3">
      <c r="A18" s="279" t="s">
        <v>124</v>
      </c>
      <c r="B18" s="280" t="s">
        <v>125</v>
      </c>
      <c r="C18" s="276"/>
      <c r="D18" s="276"/>
      <c r="E18" s="279"/>
      <c r="F18" s="279"/>
      <c r="G18" s="279">
        <v>2</v>
      </c>
      <c r="H18" s="304"/>
      <c r="I18" s="281"/>
    </row>
    <row r="19" spans="1:9" ht="73.5" customHeight="1" x14ac:dyDescent="0.3">
      <c r="A19" s="279" t="s">
        <v>126</v>
      </c>
      <c r="B19" s="280" t="s">
        <v>127</v>
      </c>
      <c r="C19" s="276"/>
      <c r="D19" s="276"/>
      <c r="E19" s="279"/>
      <c r="F19" s="279"/>
      <c r="G19" s="279">
        <v>2</v>
      </c>
      <c r="H19" s="304"/>
      <c r="I19" s="281"/>
    </row>
    <row r="20" spans="1:9" ht="93.75" customHeight="1" x14ac:dyDescent="0.3">
      <c r="A20" s="279" t="s">
        <v>128</v>
      </c>
      <c r="B20" s="280" t="s">
        <v>129</v>
      </c>
      <c r="C20" s="276"/>
      <c r="D20" s="276"/>
      <c r="E20" s="279"/>
      <c r="F20" s="279"/>
      <c r="G20" s="279">
        <v>2</v>
      </c>
      <c r="H20" s="304"/>
      <c r="I20" s="281"/>
    </row>
    <row r="21" spans="1:9" ht="111" customHeight="1" x14ac:dyDescent="0.3">
      <c r="A21" s="279" t="s">
        <v>130</v>
      </c>
      <c r="B21" s="280" t="s">
        <v>131</v>
      </c>
      <c r="C21" s="276"/>
      <c r="D21" s="276"/>
      <c r="E21" s="279"/>
      <c r="F21" s="279"/>
      <c r="G21" s="279">
        <v>2</v>
      </c>
      <c r="H21" s="304"/>
      <c r="I21" s="281"/>
    </row>
    <row r="22" spans="1:9" ht="44.25" customHeight="1" x14ac:dyDescent="0.3">
      <c r="A22" s="279" t="s">
        <v>132</v>
      </c>
      <c r="B22" s="280" t="s">
        <v>133</v>
      </c>
      <c r="C22" s="276"/>
      <c r="D22" s="276"/>
      <c r="E22" s="279"/>
      <c r="F22" s="279"/>
      <c r="G22" s="279">
        <v>2</v>
      </c>
      <c r="H22" s="304"/>
      <c r="I22" s="281"/>
    </row>
    <row r="23" spans="1:9" ht="46.5" customHeight="1" x14ac:dyDescent="0.3">
      <c r="A23" s="279" t="s">
        <v>134</v>
      </c>
      <c r="B23" s="280" t="s">
        <v>135</v>
      </c>
      <c r="C23" s="276"/>
      <c r="D23" s="276"/>
      <c r="E23" s="279"/>
      <c r="F23" s="279"/>
      <c r="G23" s="279">
        <v>2</v>
      </c>
      <c r="H23" s="304"/>
      <c r="I23" s="281"/>
    </row>
    <row r="24" spans="1:9" ht="73.5" customHeight="1" x14ac:dyDescent="0.3">
      <c r="A24" s="279" t="s">
        <v>136</v>
      </c>
      <c r="B24" s="280" t="s">
        <v>137</v>
      </c>
      <c r="C24" s="276"/>
      <c r="D24" s="276"/>
      <c r="E24" s="279"/>
      <c r="F24" s="279"/>
      <c r="G24" s="279">
        <v>2</v>
      </c>
      <c r="H24" s="304"/>
      <c r="I24" s="281"/>
    </row>
    <row r="25" spans="1:9" ht="34.5" customHeight="1" x14ac:dyDescent="0.3">
      <c r="A25" s="271">
        <v>2</v>
      </c>
      <c r="B25" s="275" t="s">
        <v>364</v>
      </c>
      <c r="C25" s="276"/>
      <c r="D25" s="276"/>
      <c r="E25" s="277"/>
      <c r="F25" s="277"/>
      <c r="G25" s="278">
        <f>SUM(G26:G29)</f>
        <v>4</v>
      </c>
      <c r="H25" s="278">
        <f>SUM(H26:H29)</f>
        <v>0</v>
      </c>
      <c r="I25" s="271"/>
    </row>
    <row r="26" spans="1:9" ht="73.5" customHeight="1" x14ac:dyDescent="0.3">
      <c r="A26" s="279" t="s">
        <v>139</v>
      </c>
      <c r="B26" s="280" t="s">
        <v>140</v>
      </c>
      <c r="C26" s="276"/>
      <c r="D26" s="276"/>
      <c r="E26" s="279"/>
      <c r="F26" s="279"/>
      <c r="G26" s="279">
        <v>1</v>
      </c>
      <c r="H26" s="304"/>
      <c r="I26" s="281"/>
    </row>
    <row r="27" spans="1:9" ht="56.25" customHeight="1" x14ac:dyDescent="0.3">
      <c r="A27" s="279" t="s">
        <v>141</v>
      </c>
      <c r="B27" s="280" t="s">
        <v>142</v>
      </c>
      <c r="C27" s="276"/>
      <c r="D27" s="276"/>
      <c r="E27" s="279"/>
      <c r="F27" s="279"/>
      <c r="G27" s="279">
        <v>1</v>
      </c>
      <c r="H27" s="304"/>
      <c r="I27" s="281"/>
    </row>
    <row r="28" spans="1:9" ht="68.25" customHeight="1" x14ac:dyDescent="0.3">
      <c r="A28" s="279" t="s">
        <v>143</v>
      </c>
      <c r="B28" s="280" t="s">
        <v>144</v>
      </c>
      <c r="C28" s="276"/>
      <c r="D28" s="276"/>
      <c r="E28" s="279"/>
      <c r="F28" s="279"/>
      <c r="G28" s="279">
        <v>1</v>
      </c>
      <c r="H28" s="304"/>
      <c r="I28" s="281"/>
    </row>
    <row r="29" spans="1:9" ht="42.75" customHeight="1" x14ac:dyDescent="0.3">
      <c r="A29" s="279" t="s">
        <v>145</v>
      </c>
      <c r="B29" s="280" t="s">
        <v>146</v>
      </c>
      <c r="C29" s="276"/>
      <c r="D29" s="276"/>
      <c r="E29" s="279"/>
      <c r="F29" s="279"/>
      <c r="G29" s="279">
        <v>1</v>
      </c>
      <c r="H29" s="304"/>
      <c r="I29" s="281"/>
    </row>
    <row r="30" spans="1:9" ht="35.25" customHeight="1" x14ac:dyDescent="0.3">
      <c r="A30" s="271">
        <v>3</v>
      </c>
      <c r="B30" s="275" t="s">
        <v>378</v>
      </c>
      <c r="C30" s="276"/>
      <c r="D30" s="276"/>
      <c r="E30" s="277"/>
      <c r="F30" s="277"/>
      <c r="G30" s="278">
        <f>SUM(G31:G34)</f>
        <v>8</v>
      </c>
      <c r="H30" s="278">
        <f>SUM(H31:H34)</f>
        <v>0</v>
      </c>
      <c r="I30" s="271"/>
    </row>
    <row r="31" spans="1:9" ht="45" customHeight="1" x14ac:dyDescent="0.3">
      <c r="A31" s="279" t="s">
        <v>148</v>
      </c>
      <c r="B31" s="280" t="s">
        <v>149</v>
      </c>
      <c r="C31" s="276"/>
      <c r="D31" s="276"/>
      <c r="E31" s="279"/>
      <c r="F31" s="279"/>
      <c r="G31" s="279">
        <v>2</v>
      </c>
      <c r="H31" s="304"/>
      <c r="I31" s="281"/>
    </row>
    <row r="32" spans="1:9" ht="39" customHeight="1" x14ac:dyDescent="0.3">
      <c r="A32" s="279" t="s">
        <v>150</v>
      </c>
      <c r="B32" s="280" t="s">
        <v>151</v>
      </c>
      <c r="C32" s="276"/>
      <c r="D32" s="276"/>
      <c r="E32" s="279"/>
      <c r="F32" s="279"/>
      <c r="G32" s="279">
        <v>2</v>
      </c>
      <c r="H32" s="304"/>
      <c r="I32" s="281"/>
    </row>
    <row r="33" spans="1:9" ht="36" customHeight="1" x14ac:dyDescent="0.3">
      <c r="A33" s="279" t="s">
        <v>152</v>
      </c>
      <c r="B33" s="280" t="s">
        <v>153</v>
      </c>
      <c r="C33" s="276"/>
      <c r="D33" s="276"/>
      <c r="E33" s="279"/>
      <c r="F33" s="279"/>
      <c r="G33" s="279">
        <v>2</v>
      </c>
      <c r="H33" s="304"/>
      <c r="I33" s="281"/>
    </row>
    <row r="34" spans="1:9" ht="34.5" customHeight="1" x14ac:dyDescent="0.3">
      <c r="A34" s="279" t="s">
        <v>154</v>
      </c>
      <c r="B34" s="280" t="s">
        <v>155</v>
      </c>
      <c r="C34" s="276"/>
      <c r="D34" s="276"/>
      <c r="E34" s="279"/>
      <c r="F34" s="279"/>
      <c r="G34" s="279">
        <v>2</v>
      </c>
      <c r="H34" s="304"/>
      <c r="I34" s="281"/>
    </row>
    <row r="35" spans="1:9" ht="28.5" customHeight="1" x14ac:dyDescent="0.3">
      <c r="A35" s="282" t="s">
        <v>156</v>
      </c>
      <c r="B35" s="283"/>
      <c r="C35" s="283"/>
      <c r="D35" s="283"/>
      <c r="E35" s="283"/>
      <c r="F35" s="283"/>
      <c r="G35" s="278">
        <f>SUM(G30,G25,G15)</f>
        <v>30</v>
      </c>
      <c r="H35" s="271">
        <f>SUM(H15,H25,H30,)</f>
        <v>0</v>
      </c>
      <c r="I35" s="284"/>
    </row>
    <row r="36" spans="1:9" ht="30.75" customHeight="1" x14ac:dyDescent="0.3">
      <c r="A36" s="271" t="s">
        <v>157</v>
      </c>
      <c r="B36" s="272" t="s">
        <v>158</v>
      </c>
      <c r="C36" s="273"/>
      <c r="D36" s="273"/>
      <c r="E36" s="273"/>
      <c r="F36" s="273"/>
      <c r="G36" s="273"/>
      <c r="H36" s="273"/>
      <c r="I36" s="273"/>
    </row>
    <row r="37" spans="1:9" ht="146.25" customHeight="1" x14ac:dyDescent="0.3">
      <c r="A37" s="271"/>
      <c r="B37" s="285" t="s">
        <v>379</v>
      </c>
      <c r="C37" s="286"/>
      <c r="D37" s="286"/>
      <c r="E37" s="286"/>
      <c r="F37" s="287"/>
      <c r="G37" s="271" t="s">
        <v>380</v>
      </c>
      <c r="H37" s="271" t="s">
        <v>381</v>
      </c>
      <c r="I37" s="271" t="s">
        <v>118</v>
      </c>
    </row>
    <row r="38" spans="1:9" ht="23.25" customHeight="1" x14ac:dyDescent="0.3">
      <c r="A38" s="288" t="s">
        <v>365</v>
      </c>
      <c r="B38" s="289"/>
      <c r="C38" s="289"/>
      <c r="D38" s="289"/>
      <c r="E38" s="289"/>
      <c r="F38" s="290"/>
      <c r="G38" s="291">
        <v>70</v>
      </c>
      <c r="H38" s="302" t="e">
        <f>'2 - BẢNG TÍNH KPI '!C79</f>
        <v>#DIV/0!</v>
      </c>
      <c r="I38" s="292"/>
    </row>
    <row r="39" spans="1:9" ht="10.5" customHeight="1" x14ac:dyDescent="0.3">
      <c r="A39" s="293"/>
      <c r="B39" s="294"/>
      <c r="C39" s="294"/>
      <c r="D39" s="294"/>
      <c r="E39" s="294"/>
      <c r="F39" s="295"/>
      <c r="G39" s="291"/>
      <c r="H39" s="291"/>
      <c r="I39" s="292"/>
    </row>
    <row r="40" spans="1:9" ht="23.25" customHeight="1" x14ac:dyDescent="0.3">
      <c r="A40" s="296" t="s">
        <v>171</v>
      </c>
      <c r="B40" s="297"/>
      <c r="C40" s="297"/>
      <c r="D40" s="297"/>
      <c r="E40" s="297"/>
      <c r="F40" s="298"/>
      <c r="G40" s="299">
        <f>G38+G35</f>
        <v>100</v>
      </c>
      <c r="H40" s="303" t="e">
        <f>H35+H38</f>
        <v>#DIV/0!</v>
      </c>
      <c r="I40" s="300"/>
    </row>
    <row r="41" spans="1:9" ht="21.75" customHeight="1" x14ac:dyDescent="0.3">
      <c r="A41" s="164"/>
      <c r="B41" s="269" t="s">
        <v>366</v>
      </c>
      <c r="C41" s="246"/>
      <c r="D41" s="246"/>
      <c r="E41" s="246"/>
      <c r="F41" s="246"/>
      <c r="G41" s="246"/>
      <c r="H41" s="246"/>
      <c r="I41" s="246"/>
    </row>
    <row r="42" spans="1:9" ht="24" customHeight="1" x14ac:dyDescent="0.3">
      <c r="A42" s="164"/>
      <c r="B42" s="270" t="s">
        <v>367</v>
      </c>
      <c r="C42" s="246"/>
      <c r="D42" s="246"/>
      <c r="E42" s="246"/>
      <c r="F42" s="246"/>
      <c r="G42" s="246"/>
      <c r="H42" s="246"/>
      <c r="I42" s="246"/>
    </row>
    <row r="43" spans="1:9" ht="66.75" customHeight="1" x14ac:dyDescent="0.3">
      <c r="A43" s="164"/>
      <c r="B43" s="301" t="s">
        <v>368</v>
      </c>
      <c r="C43" s="301"/>
      <c r="D43" s="301"/>
      <c r="E43" s="301"/>
      <c r="F43" s="301"/>
      <c r="G43" s="301"/>
      <c r="H43" s="301"/>
      <c r="I43" s="301"/>
    </row>
    <row r="44" spans="1:9" ht="18.75" customHeight="1" x14ac:dyDescent="0.3">
      <c r="A44" s="164"/>
      <c r="B44" s="165"/>
      <c r="C44" s="161"/>
      <c r="D44" s="166"/>
      <c r="E44" s="161"/>
      <c r="F44" s="249" t="s">
        <v>174</v>
      </c>
      <c r="G44" s="246"/>
      <c r="H44" s="246"/>
      <c r="I44" s="246"/>
    </row>
    <row r="45" spans="1:9" ht="17.25" customHeight="1" x14ac:dyDescent="0.3">
      <c r="A45" s="164"/>
      <c r="B45" s="161"/>
      <c r="C45" s="161"/>
      <c r="D45" s="166"/>
      <c r="E45" s="161"/>
      <c r="F45" s="262" t="s">
        <v>194</v>
      </c>
      <c r="G45" s="247"/>
      <c r="H45" s="247"/>
      <c r="I45" s="247"/>
    </row>
    <row r="46" spans="1:9" ht="9" customHeight="1" x14ac:dyDescent="0.3">
      <c r="A46" s="164"/>
      <c r="B46" s="161"/>
      <c r="C46" s="161"/>
      <c r="D46" s="166"/>
      <c r="E46" s="161"/>
      <c r="F46" s="167"/>
      <c r="G46" s="162"/>
      <c r="H46" s="162"/>
      <c r="I46" s="162"/>
    </row>
    <row r="47" spans="1:9" ht="9" customHeight="1" x14ac:dyDescent="0.3">
      <c r="A47" s="164"/>
      <c r="B47" s="161"/>
      <c r="C47" s="161"/>
      <c r="D47" s="166"/>
      <c r="E47" s="161"/>
      <c r="F47" s="167"/>
      <c r="G47" s="162"/>
      <c r="H47" s="162"/>
      <c r="I47" s="162"/>
    </row>
    <row r="48" spans="1:9" ht="9" customHeight="1" x14ac:dyDescent="0.3">
      <c r="A48" s="164"/>
      <c r="B48" s="161"/>
      <c r="C48" s="161"/>
      <c r="D48" s="166"/>
      <c r="E48" s="161"/>
      <c r="F48" s="167"/>
      <c r="G48" s="162"/>
      <c r="H48" s="162"/>
      <c r="I48" s="162"/>
    </row>
    <row r="49" spans="1:9" ht="30.75" customHeight="1" x14ac:dyDescent="0.3">
      <c r="A49" s="164"/>
      <c r="B49" s="168" t="s">
        <v>176</v>
      </c>
      <c r="C49" s="161"/>
      <c r="D49" s="166"/>
      <c r="E49" s="161"/>
      <c r="F49" s="161"/>
      <c r="G49" s="161"/>
      <c r="H49" s="161"/>
      <c r="I49" s="161"/>
    </row>
    <row r="50" spans="1:9" ht="30" customHeight="1" x14ac:dyDescent="0.3">
      <c r="A50" s="164"/>
      <c r="B50" s="248" t="s">
        <v>177</v>
      </c>
      <c r="C50" s="248"/>
      <c r="D50" s="248"/>
      <c r="E50" s="248"/>
      <c r="F50" s="248"/>
      <c r="G50" s="248"/>
      <c r="H50" s="248"/>
      <c r="I50" s="248"/>
    </row>
    <row r="51" spans="1:9" ht="30" customHeight="1" x14ac:dyDescent="0.3">
      <c r="A51" s="164"/>
      <c r="B51" s="248" t="s">
        <v>178</v>
      </c>
      <c r="C51" s="248"/>
      <c r="D51" s="248"/>
      <c r="E51" s="248"/>
      <c r="F51" s="248"/>
      <c r="G51" s="248"/>
      <c r="H51" s="248"/>
      <c r="I51" s="248"/>
    </row>
    <row r="52" spans="1:9" ht="60" customHeight="1" x14ac:dyDescent="0.3">
      <c r="A52" s="164"/>
      <c r="B52" s="165"/>
      <c r="C52" s="161"/>
      <c r="D52" s="249" t="s">
        <v>369</v>
      </c>
      <c r="E52" s="249"/>
      <c r="F52" s="249"/>
      <c r="G52" s="249"/>
      <c r="H52" s="249"/>
      <c r="I52" s="249"/>
    </row>
    <row r="53" spans="1:9" ht="15.75" customHeight="1" x14ac:dyDescent="0.3">
      <c r="D53" s="170"/>
    </row>
    <row r="54" spans="1:9" ht="15.75" customHeight="1" x14ac:dyDescent="0.3">
      <c r="D54" s="170"/>
    </row>
    <row r="55" spans="1:9" ht="15.75" customHeight="1" x14ac:dyDescent="0.3">
      <c r="D55" s="170"/>
    </row>
    <row r="56" spans="1:9" ht="15.75" customHeight="1" x14ac:dyDescent="0.3">
      <c r="D56" s="170"/>
    </row>
    <row r="57" spans="1:9" ht="15.75" customHeight="1" x14ac:dyDescent="0.3">
      <c r="D57" s="170"/>
    </row>
    <row r="58" spans="1:9" ht="15.75" customHeight="1" x14ac:dyDescent="0.3">
      <c r="D58" s="170"/>
    </row>
    <row r="59" spans="1:9" ht="15.75" customHeight="1" x14ac:dyDescent="0.3">
      <c r="D59" s="170"/>
    </row>
    <row r="60" spans="1:9" ht="15.75" customHeight="1" x14ac:dyDescent="0.3">
      <c r="D60" s="170"/>
    </row>
    <row r="61" spans="1:9" ht="15.75" customHeight="1" x14ac:dyDescent="0.3">
      <c r="D61" s="170"/>
    </row>
    <row r="62" spans="1:9" ht="15.75" customHeight="1" x14ac:dyDescent="0.3">
      <c r="D62" s="170"/>
    </row>
    <row r="63" spans="1:9" ht="15.75" customHeight="1" x14ac:dyDescent="0.3">
      <c r="D63" s="170"/>
    </row>
    <row r="64" spans="1:9" ht="15.75" customHeight="1" x14ac:dyDescent="0.3">
      <c r="D64" s="170"/>
    </row>
    <row r="65" spans="4:4" ht="15.75" customHeight="1" x14ac:dyDescent="0.3">
      <c r="D65" s="170"/>
    </row>
    <row r="66" spans="4:4" ht="15.75" customHeight="1" x14ac:dyDescent="0.3">
      <c r="D66" s="170"/>
    </row>
    <row r="67" spans="4:4" ht="15.75" customHeight="1" x14ac:dyDescent="0.3">
      <c r="D67" s="170"/>
    </row>
    <row r="68" spans="4:4" ht="15.75" customHeight="1" x14ac:dyDescent="0.3">
      <c r="D68" s="170"/>
    </row>
    <row r="69" spans="4:4" ht="15.75" customHeight="1" x14ac:dyDescent="0.3">
      <c r="D69" s="170"/>
    </row>
    <row r="70" spans="4:4" ht="15.75" customHeight="1" x14ac:dyDescent="0.3">
      <c r="D70" s="170"/>
    </row>
    <row r="71" spans="4:4" ht="15.75" customHeight="1" x14ac:dyDescent="0.3">
      <c r="D71" s="170"/>
    </row>
    <row r="72" spans="4:4" ht="15.75" customHeight="1" x14ac:dyDescent="0.3">
      <c r="D72" s="170"/>
    </row>
    <row r="73" spans="4:4" ht="15.75" customHeight="1" x14ac:dyDescent="0.3">
      <c r="D73" s="170"/>
    </row>
    <row r="74" spans="4:4" ht="15.75" customHeight="1" x14ac:dyDescent="0.3">
      <c r="D74" s="170"/>
    </row>
    <row r="75" spans="4:4" ht="15.75" customHeight="1" x14ac:dyDescent="0.3">
      <c r="D75" s="170"/>
    </row>
    <row r="76" spans="4:4" ht="15.75" customHeight="1" x14ac:dyDescent="0.3">
      <c r="D76" s="170"/>
    </row>
    <row r="77" spans="4:4" ht="15.75" customHeight="1" x14ac:dyDescent="0.3">
      <c r="D77" s="170"/>
    </row>
    <row r="78" spans="4:4" ht="15.75" customHeight="1" x14ac:dyDescent="0.3">
      <c r="D78" s="170"/>
    </row>
    <row r="79" spans="4:4" ht="15.75" customHeight="1" x14ac:dyDescent="0.3">
      <c r="D79" s="170"/>
    </row>
    <row r="80" spans="4:4" ht="15.75" customHeight="1" x14ac:dyDescent="0.3">
      <c r="D80" s="170"/>
    </row>
    <row r="81" spans="4:4" ht="15.75" customHeight="1" x14ac:dyDescent="0.3">
      <c r="D81" s="170"/>
    </row>
    <row r="82" spans="4:4" ht="15.75" customHeight="1" x14ac:dyDescent="0.3">
      <c r="D82" s="170"/>
    </row>
    <row r="83" spans="4:4" ht="15.75" customHeight="1" x14ac:dyDescent="0.3">
      <c r="D83" s="170"/>
    </row>
    <row r="84" spans="4:4" ht="15.75" customHeight="1" x14ac:dyDescent="0.3">
      <c r="D84" s="170"/>
    </row>
    <row r="85" spans="4:4" ht="15.75" customHeight="1" x14ac:dyDescent="0.3">
      <c r="D85" s="170"/>
    </row>
    <row r="86" spans="4:4" ht="15.75" customHeight="1" x14ac:dyDescent="0.3">
      <c r="D86" s="170"/>
    </row>
    <row r="87" spans="4:4" ht="15.75" customHeight="1" x14ac:dyDescent="0.3">
      <c r="D87" s="170"/>
    </row>
    <row r="88" spans="4:4" ht="15.75" customHeight="1" x14ac:dyDescent="0.3">
      <c r="D88" s="170"/>
    </row>
    <row r="89" spans="4:4" ht="15.75" customHeight="1" x14ac:dyDescent="0.3">
      <c r="D89" s="170"/>
    </row>
    <row r="90" spans="4:4" ht="15.75" customHeight="1" x14ac:dyDescent="0.3">
      <c r="D90" s="170"/>
    </row>
    <row r="91" spans="4:4" ht="15.75" customHeight="1" x14ac:dyDescent="0.3">
      <c r="D91" s="170"/>
    </row>
    <row r="92" spans="4:4" ht="15.75" customHeight="1" x14ac:dyDescent="0.3">
      <c r="D92" s="170"/>
    </row>
    <row r="93" spans="4:4" ht="15.75" customHeight="1" x14ac:dyDescent="0.3">
      <c r="D93" s="170"/>
    </row>
    <row r="94" spans="4:4" ht="15.75" customHeight="1" x14ac:dyDescent="0.3">
      <c r="D94" s="170"/>
    </row>
    <row r="95" spans="4:4" ht="15.75" customHeight="1" x14ac:dyDescent="0.3">
      <c r="D95" s="170"/>
    </row>
    <row r="96" spans="4:4" ht="15.75" customHeight="1" x14ac:dyDescent="0.3">
      <c r="D96" s="170"/>
    </row>
    <row r="97" spans="4:4" ht="15.75" customHeight="1" x14ac:dyDescent="0.3">
      <c r="D97" s="170"/>
    </row>
    <row r="98" spans="4:4" ht="15.75" customHeight="1" x14ac:dyDescent="0.3">
      <c r="D98" s="170"/>
    </row>
    <row r="99" spans="4:4" ht="15.75" customHeight="1" x14ac:dyDescent="0.3">
      <c r="D99" s="170"/>
    </row>
    <row r="100" spans="4:4" ht="15.75" customHeight="1" x14ac:dyDescent="0.3">
      <c r="D100" s="170"/>
    </row>
    <row r="101" spans="4:4" ht="15.75" customHeight="1" x14ac:dyDescent="0.3">
      <c r="D101" s="170"/>
    </row>
    <row r="102" spans="4:4" ht="15.75" customHeight="1" x14ac:dyDescent="0.3">
      <c r="D102" s="170"/>
    </row>
    <row r="103" spans="4:4" ht="15.75" customHeight="1" x14ac:dyDescent="0.3">
      <c r="D103" s="170"/>
    </row>
    <row r="104" spans="4:4" ht="15.75" customHeight="1" x14ac:dyDescent="0.3">
      <c r="D104" s="170"/>
    </row>
    <row r="105" spans="4:4" ht="15.75" customHeight="1" x14ac:dyDescent="0.3">
      <c r="D105" s="170"/>
    </row>
    <row r="106" spans="4:4" ht="15.75" customHeight="1" x14ac:dyDescent="0.3">
      <c r="D106" s="170"/>
    </row>
    <row r="107" spans="4:4" ht="15.75" customHeight="1" x14ac:dyDescent="0.3">
      <c r="D107" s="170"/>
    </row>
    <row r="108" spans="4:4" ht="15.75" customHeight="1" x14ac:dyDescent="0.3">
      <c r="D108" s="170"/>
    </row>
    <row r="109" spans="4:4" ht="15.75" customHeight="1" x14ac:dyDescent="0.3">
      <c r="D109" s="170"/>
    </row>
    <row r="110" spans="4:4" ht="15.75" customHeight="1" x14ac:dyDescent="0.3">
      <c r="D110" s="170"/>
    </row>
    <row r="111" spans="4:4" ht="15.75" customHeight="1" x14ac:dyDescent="0.3">
      <c r="D111" s="170"/>
    </row>
    <row r="112" spans="4:4" ht="15.75" customHeight="1" x14ac:dyDescent="0.3">
      <c r="D112" s="170"/>
    </row>
    <row r="113" spans="4:4" ht="15.75" customHeight="1" x14ac:dyDescent="0.3">
      <c r="D113" s="170"/>
    </row>
    <row r="114" spans="4:4" ht="15.75" customHeight="1" x14ac:dyDescent="0.3">
      <c r="D114" s="170"/>
    </row>
    <row r="115" spans="4:4" ht="15.75" customHeight="1" x14ac:dyDescent="0.3">
      <c r="D115" s="170"/>
    </row>
    <row r="116" spans="4:4" ht="15.75" customHeight="1" x14ac:dyDescent="0.3">
      <c r="D116" s="170"/>
    </row>
    <row r="117" spans="4:4" ht="15.75" customHeight="1" x14ac:dyDescent="0.3">
      <c r="D117" s="170"/>
    </row>
    <row r="118" spans="4:4" ht="15.75" customHeight="1" x14ac:dyDescent="0.3">
      <c r="D118" s="170"/>
    </row>
    <row r="119" spans="4:4" ht="15.75" customHeight="1" x14ac:dyDescent="0.3">
      <c r="D119" s="170"/>
    </row>
    <row r="120" spans="4:4" ht="15.75" customHeight="1" x14ac:dyDescent="0.3">
      <c r="D120" s="170"/>
    </row>
    <row r="121" spans="4:4" ht="15.75" customHeight="1" x14ac:dyDescent="0.3">
      <c r="D121" s="170"/>
    </row>
    <row r="122" spans="4:4" ht="15.75" customHeight="1" x14ac:dyDescent="0.3">
      <c r="D122" s="170"/>
    </row>
    <row r="123" spans="4:4" ht="15.75" customHeight="1" x14ac:dyDescent="0.3">
      <c r="D123" s="170"/>
    </row>
    <row r="124" spans="4:4" ht="15.75" customHeight="1" x14ac:dyDescent="0.3">
      <c r="D124" s="170"/>
    </row>
    <row r="125" spans="4:4" ht="15.75" customHeight="1" x14ac:dyDescent="0.3">
      <c r="D125" s="170"/>
    </row>
    <row r="126" spans="4:4" ht="15.75" customHeight="1" x14ac:dyDescent="0.3">
      <c r="D126" s="170"/>
    </row>
    <row r="127" spans="4:4" ht="15.75" customHeight="1" x14ac:dyDescent="0.3">
      <c r="D127" s="170"/>
    </row>
    <row r="128" spans="4:4" ht="15.75" customHeight="1" x14ac:dyDescent="0.3">
      <c r="D128" s="170"/>
    </row>
    <row r="129" spans="4:4" ht="15.75" customHeight="1" x14ac:dyDescent="0.3">
      <c r="D129" s="170"/>
    </row>
    <row r="130" spans="4:4" ht="15.75" customHeight="1" x14ac:dyDescent="0.3">
      <c r="D130" s="170"/>
    </row>
    <row r="131" spans="4:4" ht="15.75" customHeight="1" x14ac:dyDescent="0.3">
      <c r="D131" s="170"/>
    </row>
    <row r="132" spans="4:4" ht="15.75" customHeight="1" x14ac:dyDescent="0.3">
      <c r="D132" s="170"/>
    </row>
    <row r="133" spans="4:4" ht="15.75" customHeight="1" x14ac:dyDescent="0.3">
      <c r="D133" s="170"/>
    </row>
    <row r="134" spans="4:4" ht="15.75" customHeight="1" x14ac:dyDescent="0.3">
      <c r="D134" s="170"/>
    </row>
    <row r="135" spans="4:4" ht="15.75" customHeight="1" x14ac:dyDescent="0.3">
      <c r="D135" s="170"/>
    </row>
    <row r="136" spans="4:4" ht="15.75" customHeight="1" x14ac:dyDescent="0.3">
      <c r="D136" s="170"/>
    </row>
    <row r="137" spans="4:4" ht="15.75" customHeight="1" x14ac:dyDescent="0.3">
      <c r="D137" s="170"/>
    </row>
    <row r="138" spans="4:4" ht="15.75" customHeight="1" x14ac:dyDescent="0.3">
      <c r="D138" s="170"/>
    </row>
    <row r="139" spans="4:4" ht="15.75" customHeight="1" x14ac:dyDescent="0.3">
      <c r="D139" s="170"/>
    </row>
    <row r="140" spans="4:4" ht="15.75" customHeight="1" x14ac:dyDescent="0.3">
      <c r="D140" s="170"/>
    </row>
    <row r="141" spans="4:4" ht="15.75" customHeight="1" x14ac:dyDescent="0.3">
      <c r="D141" s="170"/>
    </row>
    <row r="142" spans="4:4" ht="15.75" customHeight="1" x14ac:dyDescent="0.3">
      <c r="D142" s="170"/>
    </row>
    <row r="143" spans="4:4" ht="15.75" customHeight="1" x14ac:dyDescent="0.3">
      <c r="D143" s="170"/>
    </row>
    <row r="144" spans="4:4" ht="15.75" customHeight="1" x14ac:dyDescent="0.3">
      <c r="D144" s="170"/>
    </row>
    <row r="145" spans="4:4" ht="15.75" customHeight="1" x14ac:dyDescent="0.3">
      <c r="D145" s="170"/>
    </row>
    <row r="146" spans="4:4" ht="15.75" customHeight="1" x14ac:dyDescent="0.3">
      <c r="D146" s="170"/>
    </row>
    <row r="147" spans="4:4" ht="15.75" customHeight="1" x14ac:dyDescent="0.3">
      <c r="D147" s="170"/>
    </row>
    <row r="148" spans="4:4" ht="15.75" customHeight="1" x14ac:dyDescent="0.3">
      <c r="D148" s="170"/>
    </row>
    <row r="149" spans="4:4" ht="15.75" customHeight="1" x14ac:dyDescent="0.3">
      <c r="D149" s="170"/>
    </row>
    <row r="150" spans="4:4" ht="15.75" customHeight="1" x14ac:dyDescent="0.3">
      <c r="D150" s="170"/>
    </row>
    <row r="151" spans="4:4" ht="15.75" customHeight="1" x14ac:dyDescent="0.3">
      <c r="D151" s="170"/>
    </row>
    <row r="152" spans="4:4" ht="15.75" customHeight="1" x14ac:dyDescent="0.3">
      <c r="D152" s="170"/>
    </row>
    <row r="153" spans="4:4" ht="15.75" customHeight="1" x14ac:dyDescent="0.3">
      <c r="D153" s="170"/>
    </row>
    <row r="154" spans="4:4" ht="15.75" customHeight="1" x14ac:dyDescent="0.3">
      <c r="D154" s="170"/>
    </row>
    <row r="155" spans="4:4" ht="15.75" customHeight="1" x14ac:dyDescent="0.3">
      <c r="D155" s="170"/>
    </row>
    <row r="156" spans="4:4" ht="15.75" customHeight="1" x14ac:dyDescent="0.3">
      <c r="D156" s="170"/>
    </row>
    <row r="157" spans="4:4" ht="15.75" customHeight="1" x14ac:dyDescent="0.3">
      <c r="D157" s="170"/>
    </row>
    <row r="158" spans="4:4" ht="15.75" customHeight="1" x14ac:dyDescent="0.3">
      <c r="D158" s="170"/>
    </row>
    <row r="159" spans="4:4" ht="15.75" customHeight="1" x14ac:dyDescent="0.3">
      <c r="D159" s="170"/>
    </row>
    <row r="160" spans="4:4" ht="15.75" customHeight="1" x14ac:dyDescent="0.3">
      <c r="D160" s="170"/>
    </row>
    <row r="161" spans="4:4" ht="15.75" customHeight="1" x14ac:dyDescent="0.3">
      <c r="D161" s="170"/>
    </row>
    <row r="162" spans="4:4" ht="15.75" customHeight="1" x14ac:dyDescent="0.3">
      <c r="D162" s="170"/>
    </row>
    <row r="163" spans="4:4" ht="15.75" customHeight="1" x14ac:dyDescent="0.3">
      <c r="D163" s="170"/>
    </row>
    <row r="164" spans="4:4" ht="15.75" customHeight="1" x14ac:dyDescent="0.3">
      <c r="D164" s="170"/>
    </row>
    <row r="165" spans="4:4" ht="15.75" customHeight="1" x14ac:dyDescent="0.3">
      <c r="D165" s="170"/>
    </row>
    <row r="166" spans="4:4" ht="15.75" customHeight="1" x14ac:dyDescent="0.3">
      <c r="D166" s="170"/>
    </row>
    <row r="167" spans="4:4" ht="15.75" customHeight="1" x14ac:dyDescent="0.3">
      <c r="D167" s="170"/>
    </row>
    <row r="168" spans="4:4" ht="15.75" customHeight="1" x14ac:dyDescent="0.3">
      <c r="D168" s="170"/>
    </row>
    <row r="169" spans="4:4" ht="15.75" customHeight="1" x14ac:dyDescent="0.3">
      <c r="D169" s="170"/>
    </row>
    <row r="170" spans="4:4" ht="15.75" customHeight="1" x14ac:dyDescent="0.3">
      <c r="D170" s="170"/>
    </row>
    <row r="171" spans="4:4" ht="15.75" customHeight="1" x14ac:dyDescent="0.3">
      <c r="D171" s="170"/>
    </row>
    <row r="172" spans="4:4" ht="15.75" customHeight="1" x14ac:dyDescent="0.3">
      <c r="D172" s="170"/>
    </row>
    <row r="173" spans="4:4" ht="15.75" customHeight="1" x14ac:dyDescent="0.3">
      <c r="D173" s="170"/>
    </row>
    <row r="174" spans="4:4" ht="15.75" customHeight="1" x14ac:dyDescent="0.3">
      <c r="D174" s="170"/>
    </row>
    <row r="175" spans="4:4" ht="15.75" customHeight="1" x14ac:dyDescent="0.3">
      <c r="D175" s="170"/>
    </row>
    <row r="176" spans="4:4" ht="15.75" customHeight="1" x14ac:dyDescent="0.3">
      <c r="D176" s="170"/>
    </row>
    <row r="177" spans="4:4" ht="15.75" customHeight="1" x14ac:dyDescent="0.3">
      <c r="D177" s="170"/>
    </row>
    <row r="178" spans="4:4" ht="15.75" customHeight="1" x14ac:dyDescent="0.3">
      <c r="D178" s="170"/>
    </row>
    <row r="179" spans="4:4" ht="15.75" customHeight="1" x14ac:dyDescent="0.3">
      <c r="D179" s="170"/>
    </row>
    <row r="180" spans="4:4" ht="15.75" customHeight="1" x14ac:dyDescent="0.3">
      <c r="D180" s="170"/>
    </row>
    <row r="181" spans="4:4" ht="15.75" customHeight="1" x14ac:dyDescent="0.3">
      <c r="D181" s="170"/>
    </row>
    <row r="182" spans="4:4" ht="15.75" customHeight="1" x14ac:dyDescent="0.3">
      <c r="D182" s="170"/>
    </row>
    <row r="183" spans="4:4" ht="15.75" customHeight="1" x14ac:dyDescent="0.3">
      <c r="D183" s="170"/>
    </row>
    <row r="184" spans="4:4" ht="15.75" customHeight="1" x14ac:dyDescent="0.3">
      <c r="D184" s="170"/>
    </row>
    <row r="185" spans="4:4" ht="15.75" customHeight="1" x14ac:dyDescent="0.3">
      <c r="D185" s="170"/>
    </row>
    <row r="186" spans="4:4" ht="15.75" customHeight="1" x14ac:dyDescent="0.3">
      <c r="D186" s="170"/>
    </row>
    <row r="187" spans="4:4" ht="15.75" customHeight="1" x14ac:dyDescent="0.3">
      <c r="D187" s="170"/>
    </row>
    <row r="188" spans="4:4" ht="15.75" customHeight="1" x14ac:dyDescent="0.3">
      <c r="D188" s="170"/>
    </row>
    <row r="189" spans="4:4" ht="15.75" customHeight="1" x14ac:dyDescent="0.3">
      <c r="D189" s="170"/>
    </row>
    <row r="190" spans="4:4" ht="15.75" customHeight="1" x14ac:dyDescent="0.3">
      <c r="D190" s="170"/>
    </row>
    <row r="191" spans="4:4" ht="15.75" customHeight="1" x14ac:dyDescent="0.3">
      <c r="D191" s="170"/>
    </row>
    <row r="192" spans="4:4" ht="15.75" customHeight="1" x14ac:dyDescent="0.3">
      <c r="D192" s="170"/>
    </row>
    <row r="193" spans="4:4" ht="15.75" customHeight="1" x14ac:dyDescent="0.3">
      <c r="D193" s="170"/>
    </row>
    <row r="194" spans="4:4" ht="15.75" customHeight="1" x14ac:dyDescent="0.3">
      <c r="D194" s="170"/>
    </row>
    <row r="195" spans="4:4" ht="15.75" customHeight="1" x14ac:dyDescent="0.3">
      <c r="D195" s="170"/>
    </row>
    <row r="196" spans="4:4" ht="15.75" customHeight="1" x14ac:dyDescent="0.3">
      <c r="D196" s="170"/>
    </row>
    <row r="197" spans="4:4" ht="15.75" customHeight="1" x14ac:dyDescent="0.3">
      <c r="D197" s="170"/>
    </row>
    <row r="198" spans="4:4" ht="15.75" customHeight="1" x14ac:dyDescent="0.3">
      <c r="D198" s="170"/>
    </row>
    <row r="199" spans="4:4" ht="15.75" customHeight="1" x14ac:dyDescent="0.3">
      <c r="D199" s="170"/>
    </row>
    <row r="200" spans="4:4" ht="15.75" customHeight="1" x14ac:dyDescent="0.3">
      <c r="D200" s="170"/>
    </row>
    <row r="201" spans="4:4" ht="15.75" customHeight="1" x14ac:dyDescent="0.3">
      <c r="D201" s="170"/>
    </row>
    <row r="202" spans="4:4" ht="15.75" customHeight="1" x14ac:dyDescent="0.3">
      <c r="D202" s="170"/>
    </row>
    <row r="203" spans="4:4" ht="15.75" customHeight="1" x14ac:dyDescent="0.3">
      <c r="D203" s="170"/>
    </row>
    <row r="204" spans="4:4" ht="15.75" customHeight="1" x14ac:dyDescent="0.3">
      <c r="D204" s="170"/>
    </row>
    <row r="205" spans="4:4" ht="15.75" customHeight="1" x14ac:dyDescent="0.3">
      <c r="D205" s="170"/>
    </row>
    <row r="206" spans="4:4" ht="15.75" customHeight="1" x14ac:dyDescent="0.3">
      <c r="D206" s="170"/>
    </row>
    <row r="207" spans="4:4" ht="15.75" customHeight="1" x14ac:dyDescent="0.3">
      <c r="D207" s="170"/>
    </row>
    <row r="208" spans="4:4" ht="15.75" customHeight="1" x14ac:dyDescent="0.3">
      <c r="D208" s="170"/>
    </row>
    <row r="209" spans="4:4" ht="15.75" customHeight="1" x14ac:dyDescent="0.3">
      <c r="D209" s="170"/>
    </row>
    <row r="210" spans="4:4" ht="15.75" customHeight="1" x14ac:dyDescent="0.3">
      <c r="D210" s="170"/>
    </row>
    <row r="211" spans="4:4" ht="15.75" customHeight="1" x14ac:dyDescent="0.3">
      <c r="D211" s="170"/>
    </row>
    <row r="212" spans="4:4" ht="15.75" customHeight="1" x14ac:dyDescent="0.3">
      <c r="D212" s="170"/>
    </row>
    <row r="213" spans="4:4" ht="15.75" customHeight="1" x14ac:dyDescent="0.3">
      <c r="D213" s="170"/>
    </row>
    <row r="214" spans="4:4" ht="15.75" customHeight="1" x14ac:dyDescent="0.3">
      <c r="D214" s="170"/>
    </row>
    <row r="215" spans="4:4" ht="15.75" customHeight="1" x14ac:dyDescent="0.3">
      <c r="D215" s="170"/>
    </row>
    <row r="216" spans="4:4" ht="15.75" customHeight="1" x14ac:dyDescent="0.3">
      <c r="D216" s="170"/>
    </row>
    <row r="217" spans="4:4" ht="15.75" customHeight="1" x14ac:dyDescent="0.3">
      <c r="D217" s="170"/>
    </row>
    <row r="218" spans="4:4" ht="15.75" customHeight="1" x14ac:dyDescent="0.3">
      <c r="D218" s="170"/>
    </row>
    <row r="219" spans="4:4" ht="15.75" customHeight="1" x14ac:dyDescent="0.3">
      <c r="D219" s="170"/>
    </row>
    <row r="220" spans="4:4" ht="15.75" customHeight="1" x14ac:dyDescent="0.3">
      <c r="D220" s="170"/>
    </row>
    <row r="221" spans="4:4" ht="15.75" customHeight="1" x14ac:dyDescent="0.3">
      <c r="D221" s="170"/>
    </row>
    <row r="222" spans="4:4" ht="15.75" customHeight="1" x14ac:dyDescent="0.3">
      <c r="D222" s="170"/>
    </row>
    <row r="223" spans="4:4" ht="15.75" customHeight="1" x14ac:dyDescent="0.3">
      <c r="D223" s="170"/>
    </row>
    <row r="224" spans="4:4" ht="15.75" customHeight="1" x14ac:dyDescent="0.3">
      <c r="D224" s="170"/>
    </row>
    <row r="225" spans="4:4" ht="15.75" customHeight="1" x14ac:dyDescent="0.3">
      <c r="D225" s="170"/>
    </row>
    <row r="226" spans="4:4" ht="15.75" customHeight="1" x14ac:dyDescent="0.3">
      <c r="D226" s="170"/>
    </row>
    <row r="227" spans="4:4" ht="15.75" customHeight="1" x14ac:dyDescent="0.3">
      <c r="D227" s="170"/>
    </row>
    <row r="228" spans="4:4" ht="15.75" customHeight="1" x14ac:dyDescent="0.3">
      <c r="D228" s="170"/>
    </row>
    <row r="229" spans="4:4" ht="15.75" customHeight="1" x14ac:dyDescent="0.3">
      <c r="D229" s="170"/>
    </row>
    <row r="230" spans="4:4" ht="15.75" customHeight="1" x14ac:dyDescent="0.3">
      <c r="D230" s="170"/>
    </row>
    <row r="231" spans="4:4" ht="15.75" customHeight="1" x14ac:dyDescent="0.3">
      <c r="D231" s="170"/>
    </row>
    <row r="232" spans="4:4" ht="15.75" customHeight="1" x14ac:dyDescent="0.3">
      <c r="D232" s="170"/>
    </row>
    <row r="233" spans="4:4" ht="15.75" customHeight="1" x14ac:dyDescent="0.3">
      <c r="D233" s="170"/>
    </row>
    <row r="234" spans="4:4" ht="15.75" customHeight="1" x14ac:dyDescent="0.3">
      <c r="D234" s="170"/>
    </row>
    <row r="235" spans="4:4" ht="15.75" customHeight="1" x14ac:dyDescent="0.3">
      <c r="D235" s="170"/>
    </row>
    <row r="236" spans="4:4" ht="15.75" customHeight="1" x14ac:dyDescent="0.3">
      <c r="D236" s="170"/>
    </row>
    <row r="237" spans="4:4" ht="15.75" customHeight="1" x14ac:dyDescent="0.3">
      <c r="D237" s="170"/>
    </row>
    <row r="238" spans="4:4" ht="15.75" customHeight="1" x14ac:dyDescent="0.3">
      <c r="D238" s="170"/>
    </row>
    <row r="239" spans="4:4" ht="15.75" customHeight="1" x14ac:dyDescent="0.3">
      <c r="D239" s="170"/>
    </row>
    <row r="240" spans="4:4" ht="15.75" customHeight="1" x14ac:dyDescent="0.3">
      <c r="D240" s="170"/>
    </row>
    <row r="241" spans="4:4" ht="15.75" customHeight="1" x14ac:dyDescent="0.3">
      <c r="D241" s="170"/>
    </row>
    <row r="242" spans="4:4" ht="15.75" customHeight="1" x14ac:dyDescent="0.3">
      <c r="D242" s="170"/>
    </row>
    <row r="243" spans="4:4" ht="15.75" customHeight="1" x14ac:dyDescent="0.3">
      <c r="D243" s="170"/>
    </row>
    <row r="244" spans="4:4" ht="15.75" customHeight="1" x14ac:dyDescent="0.3">
      <c r="D244" s="170"/>
    </row>
    <row r="245" spans="4:4" ht="15.75" customHeight="1" x14ac:dyDescent="0.3">
      <c r="D245" s="170"/>
    </row>
    <row r="246" spans="4:4" ht="15.75" customHeight="1" x14ac:dyDescent="0.3">
      <c r="D246" s="170"/>
    </row>
    <row r="247" spans="4:4" ht="15.75" customHeight="1" x14ac:dyDescent="0.3">
      <c r="D247" s="170"/>
    </row>
    <row r="248" spans="4:4" ht="15.75" customHeight="1" x14ac:dyDescent="0.3">
      <c r="D248" s="170"/>
    </row>
    <row r="249" spans="4:4" ht="15.75" customHeight="1" x14ac:dyDescent="0.3">
      <c r="D249" s="170"/>
    </row>
    <row r="250" spans="4:4" ht="15.75" customHeight="1" x14ac:dyDescent="0.3">
      <c r="D250" s="170"/>
    </row>
    <row r="251" spans="4:4" ht="15.75" customHeight="1" x14ac:dyDescent="0.3">
      <c r="D251" s="170"/>
    </row>
    <row r="252" spans="4:4" ht="15.75" customHeight="1" x14ac:dyDescent="0.3">
      <c r="D252" s="170"/>
    </row>
    <row r="253" spans="4:4" ht="15.75" customHeight="1" x14ac:dyDescent="0.3">
      <c r="D253" s="170"/>
    </row>
    <row r="254" spans="4:4" ht="15.75" customHeight="1" x14ac:dyDescent="0.3">
      <c r="D254" s="170"/>
    </row>
    <row r="255" spans="4:4" ht="15.75" customHeight="1" x14ac:dyDescent="0.3">
      <c r="D255" s="170"/>
    </row>
    <row r="256" spans="4:4" ht="15.75" customHeight="1" x14ac:dyDescent="0.3">
      <c r="D256" s="170"/>
    </row>
    <row r="257" spans="4:4" ht="15.75" customHeight="1" x14ac:dyDescent="0.3">
      <c r="D257" s="170"/>
    </row>
    <row r="258" spans="4:4" ht="15.75" customHeight="1" x14ac:dyDescent="0.3">
      <c r="D258" s="170"/>
    </row>
    <row r="259" spans="4:4" ht="15.75" customHeight="1" x14ac:dyDescent="0.3">
      <c r="D259" s="170"/>
    </row>
    <row r="260" spans="4:4" ht="15.75" customHeight="1" x14ac:dyDescent="0.3">
      <c r="D260" s="170"/>
    </row>
    <row r="261" spans="4:4" ht="15.75" customHeight="1" x14ac:dyDescent="0.3">
      <c r="D261" s="170"/>
    </row>
    <row r="262" spans="4:4" ht="15.75" customHeight="1" x14ac:dyDescent="0.3">
      <c r="D262" s="170"/>
    </row>
    <row r="263" spans="4:4" ht="15.75" customHeight="1" x14ac:dyDescent="0.3">
      <c r="D263" s="170"/>
    </row>
    <row r="264" spans="4:4" ht="15.75" customHeight="1" x14ac:dyDescent="0.3">
      <c r="D264" s="170"/>
    </row>
    <row r="265" spans="4:4" ht="15.75" customHeight="1" x14ac:dyDescent="0.3">
      <c r="D265" s="170"/>
    </row>
    <row r="266" spans="4:4" ht="15.75" customHeight="1" x14ac:dyDescent="0.3">
      <c r="D266" s="170"/>
    </row>
    <row r="267" spans="4:4" ht="15.75" customHeight="1" x14ac:dyDescent="0.3">
      <c r="D267" s="170"/>
    </row>
    <row r="268" spans="4:4" ht="15.75" customHeight="1" x14ac:dyDescent="0.3">
      <c r="D268" s="170"/>
    </row>
    <row r="269" spans="4:4" ht="15.75" customHeight="1" x14ac:dyDescent="0.3">
      <c r="D269" s="170"/>
    </row>
    <row r="270" spans="4:4" ht="15.75" customHeight="1" x14ac:dyDescent="0.3">
      <c r="D270" s="170"/>
    </row>
    <row r="271" spans="4:4" ht="15.75" customHeight="1" x14ac:dyDescent="0.3">
      <c r="D271" s="170"/>
    </row>
    <row r="272" spans="4:4" ht="15.75" customHeight="1" x14ac:dyDescent="0.3">
      <c r="D272" s="170"/>
    </row>
    <row r="273" spans="4:4" ht="15.75" customHeight="1" x14ac:dyDescent="0.3">
      <c r="D273" s="170"/>
    </row>
    <row r="274" spans="4:4" ht="15.75" customHeight="1" x14ac:dyDescent="0.3">
      <c r="D274" s="170"/>
    </row>
    <row r="275" spans="4:4" ht="15.75" customHeight="1" x14ac:dyDescent="0.3">
      <c r="D275" s="170"/>
    </row>
    <row r="276" spans="4:4" ht="15.75" customHeight="1" x14ac:dyDescent="0.3">
      <c r="D276" s="170"/>
    </row>
    <row r="277" spans="4:4" ht="15.75" customHeight="1" x14ac:dyDescent="0.3">
      <c r="D277" s="170"/>
    </row>
    <row r="278" spans="4:4" ht="15.75" customHeight="1" x14ac:dyDescent="0.3">
      <c r="D278" s="170"/>
    </row>
    <row r="279" spans="4:4" ht="15.75" customHeight="1" x14ac:dyDescent="0.3">
      <c r="D279" s="170"/>
    </row>
    <row r="280" spans="4:4" ht="15.75" customHeight="1" x14ac:dyDescent="0.3">
      <c r="D280" s="170"/>
    </row>
    <row r="281" spans="4:4" ht="15.75" customHeight="1" x14ac:dyDescent="0.3">
      <c r="D281" s="170"/>
    </row>
    <row r="282" spans="4:4" ht="15.75" customHeight="1" x14ac:dyDescent="0.3">
      <c r="D282" s="170"/>
    </row>
    <row r="283" spans="4:4" ht="15.75" customHeight="1" x14ac:dyDescent="0.3">
      <c r="D283" s="170"/>
    </row>
    <row r="284" spans="4:4" ht="15.75" customHeight="1" x14ac:dyDescent="0.3">
      <c r="D284" s="170"/>
    </row>
    <row r="285" spans="4:4" ht="15.75" customHeight="1" x14ac:dyDescent="0.3">
      <c r="D285" s="170"/>
    </row>
    <row r="286" spans="4:4" ht="15.75" customHeight="1" x14ac:dyDescent="0.3">
      <c r="D286" s="170"/>
    </row>
    <row r="287" spans="4:4" ht="15.75" customHeight="1" x14ac:dyDescent="0.3">
      <c r="D287" s="170"/>
    </row>
    <row r="288" spans="4:4" ht="15.75" customHeight="1" x14ac:dyDescent="0.3">
      <c r="D288" s="170"/>
    </row>
    <row r="289" spans="4:4" ht="15.75" customHeight="1" x14ac:dyDescent="0.3">
      <c r="D289" s="170"/>
    </row>
    <row r="290" spans="4:4" ht="15.75" customHeight="1" x14ac:dyDescent="0.3">
      <c r="D290" s="170"/>
    </row>
    <row r="291" spans="4:4" ht="15.75" customHeight="1" x14ac:dyDescent="0.3">
      <c r="D291" s="170"/>
    </row>
    <row r="292" spans="4:4" ht="15.75" customHeight="1" x14ac:dyDescent="0.3">
      <c r="D292" s="170"/>
    </row>
    <row r="293" spans="4:4" ht="15.75" customHeight="1" x14ac:dyDescent="0.3">
      <c r="D293" s="170"/>
    </row>
    <row r="294" spans="4:4" ht="15.75" customHeight="1" x14ac:dyDescent="0.3">
      <c r="D294" s="170"/>
    </row>
    <row r="295" spans="4:4" ht="15.75" customHeight="1" x14ac:dyDescent="0.3">
      <c r="D295" s="170"/>
    </row>
    <row r="296" spans="4:4" ht="15.75" customHeight="1" x14ac:dyDescent="0.3">
      <c r="D296" s="170"/>
    </row>
    <row r="297" spans="4:4" ht="15.75" customHeight="1" x14ac:dyDescent="0.3">
      <c r="D297" s="170"/>
    </row>
    <row r="298" spans="4:4" ht="15.75" customHeight="1" x14ac:dyDescent="0.3">
      <c r="D298" s="170"/>
    </row>
    <row r="299" spans="4:4" ht="15.75" customHeight="1" x14ac:dyDescent="0.3">
      <c r="D299" s="170"/>
    </row>
    <row r="300" spans="4:4" ht="15.75" customHeight="1" x14ac:dyDescent="0.3">
      <c r="D300" s="170"/>
    </row>
    <row r="301" spans="4:4" ht="15.75" customHeight="1" x14ac:dyDescent="0.3">
      <c r="D301" s="170"/>
    </row>
    <row r="302" spans="4:4" ht="15.75" customHeight="1" x14ac:dyDescent="0.3">
      <c r="D302" s="170"/>
    </row>
    <row r="303" spans="4:4" ht="15.75" customHeight="1" x14ac:dyDescent="0.3">
      <c r="D303" s="170"/>
    </row>
    <row r="304" spans="4:4" ht="15.75" customHeight="1" x14ac:dyDescent="0.3">
      <c r="D304" s="170"/>
    </row>
    <row r="305" spans="4:4" ht="15.75" customHeight="1" x14ac:dyDescent="0.3">
      <c r="D305" s="170"/>
    </row>
    <row r="306" spans="4:4" ht="15.75" customHeight="1" x14ac:dyDescent="0.3">
      <c r="D306" s="170"/>
    </row>
    <row r="307" spans="4:4" ht="15.75" customHeight="1" x14ac:dyDescent="0.3">
      <c r="D307" s="170"/>
    </row>
    <row r="308" spans="4:4" ht="15.75" customHeight="1" x14ac:dyDescent="0.3">
      <c r="D308" s="170"/>
    </row>
    <row r="309" spans="4:4" ht="15.75" customHeight="1" x14ac:dyDescent="0.3">
      <c r="D309" s="170"/>
    </row>
    <row r="310" spans="4:4" ht="15.75" customHeight="1" x14ac:dyDescent="0.3">
      <c r="D310" s="170"/>
    </row>
    <row r="311" spans="4:4" ht="15.75" customHeight="1" x14ac:dyDescent="0.3">
      <c r="D311" s="170"/>
    </row>
    <row r="312" spans="4:4" ht="15.75" customHeight="1" x14ac:dyDescent="0.3">
      <c r="D312" s="170"/>
    </row>
    <row r="313" spans="4:4" ht="15.75" customHeight="1" x14ac:dyDescent="0.3">
      <c r="D313" s="170"/>
    </row>
    <row r="314" spans="4:4" ht="15.75" customHeight="1" x14ac:dyDescent="0.3">
      <c r="D314" s="170"/>
    </row>
    <row r="315" spans="4:4" ht="15.75" customHeight="1" x14ac:dyDescent="0.3">
      <c r="D315" s="170"/>
    </row>
    <row r="316" spans="4:4" ht="15.75" customHeight="1" x14ac:dyDescent="0.3">
      <c r="D316" s="170"/>
    </row>
    <row r="317" spans="4:4" ht="15.75" customHeight="1" x14ac:dyDescent="0.3">
      <c r="D317" s="170"/>
    </row>
    <row r="318" spans="4:4" ht="15.75" customHeight="1" x14ac:dyDescent="0.3">
      <c r="D318" s="170"/>
    </row>
    <row r="319" spans="4:4" ht="15.75" customHeight="1" x14ac:dyDescent="0.3">
      <c r="D319" s="170"/>
    </row>
    <row r="320" spans="4:4" ht="15.75" customHeight="1" x14ac:dyDescent="0.3">
      <c r="D320" s="170"/>
    </row>
    <row r="321" spans="4:4" ht="15.75" customHeight="1" x14ac:dyDescent="0.3">
      <c r="D321" s="170"/>
    </row>
    <row r="322" spans="4:4" ht="15.75" customHeight="1" x14ac:dyDescent="0.3">
      <c r="D322" s="170"/>
    </row>
    <row r="323" spans="4:4" ht="15.75" customHeight="1" x14ac:dyDescent="0.3">
      <c r="D323" s="170"/>
    </row>
    <row r="324" spans="4:4" ht="15.75" customHeight="1" x14ac:dyDescent="0.3">
      <c r="D324" s="170"/>
    </row>
    <row r="325" spans="4:4" ht="15.75" customHeight="1" x14ac:dyDescent="0.3">
      <c r="D325" s="170"/>
    </row>
    <row r="326" spans="4:4" ht="15.75" customHeight="1" x14ac:dyDescent="0.3">
      <c r="D326" s="170"/>
    </row>
    <row r="327" spans="4:4" ht="15.75" customHeight="1" x14ac:dyDescent="0.3">
      <c r="D327" s="170"/>
    </row>
    <row r="328" spans="4:4" ht="15.75" customHeight="1" x14ac:dyDescent="0.3">
      <c r="D328" s="170"/>
    </row>
    <row r="329" spans="4:4" ht="15.75" customHeight="1" x14ac:dyDescent="0.3">
      <c r="D329" s="170"/>
    </row>
    <row r="330" spans="4:4" ht="15.75" customHeight="1" x14ac:dyDescent="0.3">
      <c r="D330" s="170"/>
    </row>
    <row r="331" spans="4:4" ht="15.75" customHeight="1" x14ac:dyDescent="0.3">
      <c r="D331" s="170"/>
    </row>
    <row r="332" spans="4:4" ht="15.75" customHeight="1" x14ac:dyDescent="0.3">
      <c r="D332" s="170"/>
    </row>
    <row r="333" spans="4:4" ht="15.75" customHeight="1" x14ac:dyDescent="0.3">
      <c r="D333" s="170"/>
    </row>
    <row r="334" spans="4:4" ht="15.75" customHeight="1" x14ac:dyDescent="0.3">
      <c r="D334" s="170"/>
    </row>
    <row r="335" spans="4:4" ht="15.75" customHeight="1" x14ac:dyDescent="0.3">
      <c r="D335" s="170"/>
    </row>
    <row r="336" spans="4:4" ht="15.75" customHeight="1" x14ac:dyDescent="0.3">
      <c r="D336" s="170"/>
    </row>
    <row r="337" spans="4:4" ht="15.75" customHeight="1" x14ac:dyDescent="0.3">
      <c r="D337" s="170"/>
    </row>
    <row r="338" spans="4:4" ht="15.75" customHeight="1" x14ac:dyDescent="0.3">
      <c r="D338" s="170"/>
    </row>
    <row r="339" spans="4:4" ht="15.75" customHeight="1" x14ac:dyDescent="0.3">
      <c r="D339" s="170"/>
    </row>
    <row r="340" spans="4:4" ht="15.75" customHeight="1" x14ac:dyDescent="0.3">
      <c r="D340" s="170"/>
    </row>
    <row r="341" spans="4:4" ht="15.75" customHeight="1" x14ac:dyDescent="0.3">
      <c r="D341" s="170"/>
    </row>
    <row r="342" spans="4:4" ht="15.75" customHeight="1" x14ac:dyDescent="0.3">
      <c r="D342" s="170"/>
    </row>
    <row r="343" spans="4:4" ht="15.75" customHeight="1" x14ac:dyDescent="0.3">
      <c r="D343" s="170"/>
    </row>
    <row r="344" spans="4:4" ht="15.75" customHeight="1" x14ac:dyDescent="0.3">
      <c r="D344" s="170"/>
    </row>
    <row r="345" spans="4:4" ht="15.75" customHeight="1" x14ac:dyDescent="0.3">
      <c r="D345" s="170"/>
    </row>
    <row r="346" spans="4:4" ht="15.75" customHeight="1" x14ac:dyDescent="0.3">
      <c r="D346" s="170"/>
    </row>
    <row r="347" spans="4:4" ht="15.75" customHeight="1" x14ac:dyDescent="0.3">
      <c r="D347" s="170"/>
    </row>
    <row r="348" spans="4:4" ht="15.75" customHeight="1" x14ac:dyDescent="0.3">
      <c r="D348" s="170"/>
    </row>
    <row r="349" spans="4:4" ht="15.75" customHeight="1" x14ac:dyDescent="0.3">
      <c r="D349" s="170"/>
    </row>
    <row r="350" spans="4:4" ht="15.75" customHeight="1" x14ac:dyDescent="0.3">
      <c r="D350" s="170"/>
    </row>
    <row r="351" spans="4:4" ht="15.75" customHeight="1" x14ac:dyDescent="0.3">
      <c r="D351" s="170"/>
    </row>
    <row r="352" spans="4:4" ht="15.75" customHeight="1" x14ac:dyDescent="0.3">
      <c r="D352" s="170"/>
    </row>
    <row r="353" spans="4:4" ht="15.75" customHeight="1" x14ac:dyDescent="0.3">
      <c r="D353" s="170"/>
    </row>
    <row r="354" spans="4:4" ht="15.75" customHeight="1" x14ac:dyDescent="0.3">
      <c r="D354" s="170"/>
    </row>
    <row r="355" spans="4:4" ht="15.75" customHeight="1" x14ac:dyDescent="0.3">
      <c r="D355" s="170"/>
    </row>
    <row r="356" spans="4:4" ht="15.75" customHeight="1" x14ac:dyDescent="0.3">
      <c r="D356" s="170"/>
    </row>
    <row r="357" spans="4:4" ht="15.75" customHeight="1" x14ac:dyDescent="0.3">
      <c r="D357" s="170"/>
    </row>
    <row r="358" spans="4:4" ht="15.75" customHeight="1" x14ac:dyDescent="0.3">
      <c r="D358" s="170"/>
    </row>
    <row r="359" spans="4:4" ht="15.75" customHeight="1" x14ac:dyDescent="0.3">
      <c r="D359" s="170"/>
    </row>
    <row r="360" spans="4:4" ht="15.75" customHeight="1" x14ac:dyDescent="0.3">
      <c r="D360" s="170"/>
    </row>
    <row r="361" spans="4:4" ht="15.75" customHeight="1" x14ac:dyDescent="0.3">
      <c r="D361" s="170"/>
    </row>
    <row r="362" spans="4:4" ht="15.75" customHeight="1" x14ac:dyDescent="0.3">
      <c r="D362" s="170"/>
    </row>
    <row r="363" spans="4:4" ht="15.75" customHeight="1" x14ac:dyDescent="0.3">
      <c r="D363" s="170"/>
    </row>
    <row r="364" spans="4:4" ht="15.75" customHeight="1" x14ac:dyDescent="0.3">
      <c r="D364" s="170"/>
    </row>
    <row r="365" spans="4:4" ht="15.75" customHeight="1" x14ac:dyDescent="0.3">
      <c r="D365" s="170"/>
    </row>
    <row r="366" spans="4:4" ht="15.75" customHeight="1" x14ac:dyDescent="0.3">
      <c r="D366" s="170"/>
    </row>
    <row r="367" spans="4:4" ht="15.75" customHeight="1" x14ac:dyDescent="0.3">
      <c r="D367" s="170"/>
    </row>
    <row r="368" spans="4:4" ht="15.75" customHeight="1" x14ac:dyDescent="0.3">
      <c r="D368" s="170"/>
    </row>
    <row r="369" spans="4:4" ht="15.75" customHeight="1" x14ac:dyDescent="0.3">
      <c r="D369" s="170"/>
    </row>
    <row r="370" spans="4:4" ht="15.75" customHeight="1" x14ac:dyDescent="0.3">
      <c r="D370" s="170"/>
    </row>
    <row r="371" spans="4:4" ht="15.75" customHeight="1" x14ac:dyDescent="0.3">
      <c r="D371" s="170"/>
    </row>
    <row r="372" spans="4:4" ht="15.75" customHeight="1" x14ac:dyDescent="0.3">
      <c r="D372" s="170"/>
    </row>
    <row r="373" spans="4:4" ht="15.75" customHeight="1" x14ac:dyDescent="0.3">
      <c r="D373" s="170"/>
    </row>
    <row r="374" spans="4:4" ht="15.75" customHeight="1" x14ac:dyDescent="0.3">
      <c r="D374" s="170"/>
    </row>
    <row r="375" spans="4:4" ht="15.75" customHeight="1" x14ac:dyDescent="0.3">
      <c r="D375" s="170"/>
    </row>
    <row r="376" spans="4:4" ht="15.75" customHeight="1" x14ac:dyDescent="0.3">
      <c r="D376" s="170"/>
    </row>
    <row r="377" spans="4:4" ht="15.75" customHeight="1" x14ac:dyDescent="0.3">
      <c r="D377" s="170"/>
    </row>
    <row r="378" spans="4:4" ht="15.75" customHeight="1" x14ac:dyDescent="0.3">
      <c r="D378" s="170"/>
    </row>
    <row r="379" spans="4:4" ht="15.75" customHeight="1" x14ac:dyDescent="0.3">
      <c r="D379" s="170"/>
    </row>
    <row r="380" spans="4:4" ht="15.75" customHeight="1" x14ac:dyDescent="0.3">
      <c r="D380" s="170"/>
    </row>
    <row r="381" spans="4:4" ht="15.75" customHeight="1" x14ac:dyDescent="0.3">
      <c r="D381" s="170"/>
    </row>
    <row r="382" spans="4:4" ht="15.75" customHeight="1" x14ac:dyDescent="0.3">
      <c r="D382" s="170"/>
    </row>
    <row r="383" spans="4:4" ht="15.75" customHeight="1" x14ac:dyDescent="0.3">
      <c r="D383" s="170"/>
    </row>
    <row r="384" spans="4:4" ht="15.75" customHeight="1" x14ac:dyDescent="0.3">
      <c r="D384" s="170"/>
    </row>
    <row r="385" spans="4:4" ht="15.75" customHeight="1" x14ac:dyDescent="0.3">
      <c r="D385" s="170"/>
    </row>
    <row r="386" spans="4:4" ht="15.75" customHeight="1" x14ac:dyDescent="0.3">
      <c r="D386" s="170"/>
    </row>
    <row r="387" spans="4:4" ht="15.75" customHeight="1" x14ac:dyDescent="0.3">
      <c r="D387" s="170"/>
    </row>
    <row r="388" spans="4:4" ht="15.75" customHeight="1" x14ac:dyDescent="0.3">
      <c r="D388" s="170"/>
    </row>
    <row r="389" spans="4:4" ht="15.75" customHeight="1" x14ac:dyDescent="0.3">
      <c r="D389" s="170"/>
    </row>
    <row r="390" spans="4:4" ht="15.75" customHeight="1" x14ac:dyDescent="0.3">
      <c r="D390" s="170"/>
    </row>
    <row r="391" spans="4:4" ht="15.75" customHeight="1" x14ac:dyDescent="0.3">
      <c r="D391" s="170"/>
    </row>
    <row r="392" spans="4:4" ht="15.75" customHeight="1" x14ac:dyDescent="0.3">
      <c r="D392" s="170"/>
    </row>
    <row r="393" spans="4:4" ht="15.75" customHeight="1" x14ac:dyDescent="0.3">
      <c r="D393" s="170"/>
    </row>
    <row r="394" spans="4:4" ht="15.75" customHeight="1" x14ac:dyDescent="0.3">
      <c r="D394" s="170"/>
    </row>
    <row r="395" spans="4:4" ht="15.75" customHeight="1" x14ac:dyDescent="0.3">
      <c r="D395" s="170"/>
    </row>
    <row r="396" spans="4:4" ht="15.75" customHeight="1" x14ac:dyDescent="0.3">
      <c r="D396" s="170"/>
    </row>
    <row r="397" spans="4:4" ht="15.75" customHeight="1" x14ac:dyDescent="0.3">
      <c r="D397" s="170"/>
    </row>
    <row r="398" spans="4:4" ht="15.75" customHeight="1" x14ac:dyDescent="0.3">
      <c r="D398" s="170"/>
    </row>
    <row r="399" spans="4:4" ht="15.75" customHeight="1" x14ac:dyDescent="0.3">
      <c r="D399" s="170"/>
    </row>
    <row r="400" spans="4:4" ht="15.75" customHeight="1" x14ac:dyDescent="0.3">
      <c r="D400" s="170"/>
    </row>
    <row r="401" spans="4:4" ht="15.75" customHeight="1" x14ac:dyDescent="0.3">
      <c r="D401" s="170"/>
    </row>
    <row r="402" spans="4:4" ht="15.75" customHeight="1" x14ac:dyDescent="0.3">
      <c r="D402" s="170"/>
    </row>
    <row r="403" spans="4:4" ht="15.75" customHeight="1" x14ac:dyDescent="0.3">
      <c r="D403" s="170"/>
    </row>
    <row r="404" spans="4:4" ht="15.75" customHeight="1" x14ac:dyDescent="0.3">
      <c r="D404" s="170"/>
    </row>
    <row r="405" spans="4:4" ht="15.75" customHeight="1" x14ac:dyDescent="0.3">
      <c r="D405" s="170"/>
    </row>
    <row r="406" spans="4:4" ht="15.75" customHeight="1" x14ac:dyDescent="0.3">
      <c r="D406" s="170"/>
    </row>
    <row r="407" spans="4:4" ht="15.75" customHeight="1" x14ac:dyDescent="0.3">
      <c r="D407" s="170"/>
    </row>
    <row r="408" spans="4:4" ht="15.75" customHeight="1" x14ac:dyDescent="0.3">
      <c r="D408" s="170"/>
    </row>
    <row r="409" spans="4:4" ht="15.75" customHeight="1" x14ac:dyDescent="0.3">
      <c r="D409" s="170"/>
    </row>
    <row r="410" spans="4:4" ht="15.75" customHeight="1" x14ac:dyDescent="0.3">
      <c r="D410" s="170"/>
    </row>
    <row r="411" spans="4:4" ht="15.75" customHeight="1" x14ac:dyDescent="0.3">
      <c r="D411" s="170"/>
    </row>
    <row r="412" spans="4:4" ht="15.75" customHeight="1" x14ac:dyDescent="0.3">
      <c r="D412" s="170"/>
    </row>
    <row r="413" spans="4:4" ht="15.75" customHeight="1" x14ac:dyDescent="0.3">
      <c r="D413" s="170"/>
    </row>
    <row r="414" spans="4:4" ht="15.75" customHeight="1" x14ac:dyDescent="0.3">
      <c r="D414" s="170"/>
    </row>
    <row r="415" spans="4:4" ht="15.75" customHeight="1" x14ac:dyDescent="0.3">
      <c r="D415" s="170"/>
    </row>
    <row r="416" spans="4:4" ht="15.75" customHeight="1" x14ac:dyDescent="0.3">
      <c r="D416" s="170"/>
    </row>
    <row r="417" spans="4:4" ht="15.75" customHeight="1" x14ac:dyDescent="0.3">
      <c r="D417" s="170"/>
    </row>
    <row r="418" spans="4:4" ht="15.75" customHeight="1" x14ac:dyDescent="0.3">
      <c r="D418" s="170"/>
    </row>
    <row r="419" spans="4:4" ht="15.75" customHeight="1" x14ac:dyDescent="0.3">
      <c r="D419" s="170"/>
    </row>
    <row r="420" spans="4:4" ht="15.75" customHeight="1" x14ac:dyDescent="0.3">
      <c r="D420" s="170"/>
    </row>
    <row r="421" spans="4:4" ht="15.75" customHeight="1" x14ac:dyDescent="0.3">
      <c r="D421" s="170"/>
    </row>
    <row r="422" spans="4:4" ht="15.75" customHeight="1" x14ac:dyDescent="0.3">
      <c r="D422" s="170"/>
    </row>
    <row r="423" spans="4:4" ht="15.75" customHeight="1" x14ac:dyDescent="0.3">
      <c r="D423" s="170"/>
    </row>
    <row r="424" spans="4:4" ht="15.75" customHeight="1" x14ac:dyDescent="0.3">
      <c r="D424" s="170"/>
    </row>
    <row r="425" spans="4:4" ht="15.75" customHeight="1" x14ac:dyDescent="0.3">
      <c r="D425" s="170"/>
    </row>
    <row r="426" spans="4:4" ht="15.75" customHeight="1" x14ac:dyDescent="0.3">
      <c r="D426" s="170"/>
    </row>
    <row r="427" spans="4:4" ht="15.75" customHeight="1" x14ac:dyDescent="0.3">
      <c r="D427" s="170"/>
    </row>
    <row r="428" spans="4:4" ht="15.75" customHeight="1" x14ac:dyDescent="0.3">
      <c r="D428" s="170"/>
    </row>
    <row r="429" spans="4:4" ht="15.75" customHeight="1" x14ac:dyDescent="0.3">
      <c r="D429" s="170"/>
    </row>
    <row r="430" spans="4:4" ht="15.75" customHeight="1" x14ac:dyDescent="0.3">
      <c r="D430" s="170"/>
    </row>
    <row r="431" spans="4:4" ht="15.75" customHeight="1" x14ac:dyDescent="0.3">
      <c r="D431" s="170"/>
    </row>
    <row r="432" spans="4:4" ht="15.75" customHeight="1" x14ac:dyDescent="0.3">
      <c r="D432" s="170"/>
    </row>
    <row r="433" spans="4:4" ht="15.75" customHeight="1" x14ac:dyDescent="0.3">
      <c r="D433" s="170"/>
    </row>
    <row r="434" spans="4:4" ht="15.75" customHeight="1" x14ac:dyDescent="0.3">
      <c r="D434" s="170"/>
    </row>
    <row r="435" spans="4:4" ht="15.75" customHeight="1" x14ac:dyDescent="0.3">
      <c r="D435" s="170"/>
    </row>
    <row r="436" spans="4:4" ht="15.75" customHeight="1" x14ac:dyDescent="0.3">
      <c r="D436" s="170"/>
    </row>
    <row r="437" spans="4:4" ht="15.75" customHeight="1" x14ac:dyDescent="0.3">
      <c r="D437" s="170"/>
    </row>
    <row r="438" spans="4:4" ht="15.75" customHeight="1" x14ac:dyDescent="0.3">
      <c r="D438" s="170"/>
    </row>
    <row r="439" spans="4:4" ht="15.75" customHeight="1" x14ac:dyDescent="0.3">
      <c r="D439" s="170"/>
    </row>
    <row r="440" spans="4:4" ht="15.75" customHeight="1" x14ac:dyDescent="0.3">
      <c r="D440" s="170"/>
    </row>
    <row r="441" spans="4:4" ht="15.75" customHeight="1" x14ac:dyDescent="0.3">
      <c r="D441" s="170"/>
    </row>
    <row r="442" spans="4:4" ht="15.75" customHeight="1" x14ac:dyDescent="0.3">
      <c r="D442" s="170"/>
    </row>
    <row r="443" spans="4:4" ht="15.75" customHeight="1" x14ac:dyDescent="0.3">
      <c r="D443" s="170"/>
    </row>
    <row r="444" spans="4:4" ht="15.75" customHeight="1" x14ac:dyDescent="0.3">
      <c r="D444" s="170"/>
    </row>
    <row r="445" spans="4:4" ht="15.75" customHeight="1" x14ac:dyDescent="0.3">
      <c r="D445" s="170"/>
    </row>
    <row r="446" spans="4:4" ht="15.75" customHeight="1" x14ac:dyDescent="0.3">
      <c r="D446" s="170"/>
    </row>
    <row r="447" spans="4:4" ht="15.75" customHeight="1" x14ac:dyDescent="0.3">
      <c r="D447" s="170"/>
    </row>
    <row r="448" spans="4:4" ht="15.75" customHeight="1" x14ac:dyDescent="0.3">
      <c r="D448" s="170"/>
    </row>
    <row r="449" spans="4:4" ht="15.75" customHeight="1" x14ac:dyDescent="0.3">
      <c r="D449" s="170"/>
    </row>
    <row r="450" spans="4:4" ht="15.75" customHeight="1" x14ac:dyDescent="0.3">
      <c r="D450" s="170"/>
    </row>
    <row r="451" spans="4:4" ht="15.75" customHeight="1" x14ac:dyDescent="0.3">
      <c r="D451" s="170"/>
    </row>
    <row r="452" spans="4:4" ht="15.75" customHeight="1" x14ac:dyDescent="0.3">
      <c r="D452" s="170"/>
    </row>
    <row r="453" spans="4:4" ht="15.75" customHeight="1" x14ac:dyDescent="0.3">
      <c r="D453" s="170"/>
    </row>
    <row r="454" spans="4:4" ht="15.75" customHeight="1" x14ac:dyDescent="0.3">
      <c r="D454" s="170"/>
    </row>
    <row r="455" spans="4:4" ht="15.75" customHeight="1" x14ac:dyDescent="0.3">
      <c r="D455" s="170"/>
    </row>
    <row r="456" spans="4:4" ht="15.75" customHeight="1" x14ac:dyDescent="0.3">
      <c r="D456" s="170"/>
    </row>
    <row r="457" spans="4:4" ht="15.75" customHeight="1" x14ac:dyDescent="0.3">
      <c r="D457" s="170"/>
    </row>
    <row r="458" spans="4:4" ht="15.75" customHeight="1" x14ac:dyDescent="0.3">
      <c r="D458" s="170"/>
    </row>
    <row r="459" spans="4:4" ht="15.75" customHeight="1" x14ac:dyDescent="0.3">
      <c r="D459" s="170"/>
    </row>
    <row r="460" spans="4:4" ht="15.75" customHeight="1" x14ac:dyDescent="0.3">
      <c r="D460" s="170"/>
    </row>
    <row r="461" spans="4:4" ht="15.75" customHeight="1" x14ac:dyDescent="0.3">
      <c r="D461" s="170"/>
    </row>
    <row r="462" spans="4:4" ht="15.75" customHeight="1" x14ac:dyDescent="0.3">
      <c r="D462" s="170"/>
    </row>
    <row r="463" spans="4:4" ht="15.75" customHeight="1" x14ac:dyDescent="0.3">
      <c r="D463" s="170"/>
    </row>
    <row r="464" spans="4:4" ht="15.75" customHeight="1" x14ac:dyDescent="0.3">
      <c r="D464" s="170"/>
    </row>
    <row r="465" spans="4:4" ht="15.75" customHeight="1" x14ac:dyDescent="0.3">
      <c r="D465" s="170"/>
    </row>
    <row r="466" spans="4:4" ht="15.75" customHeight="1" x14ac:dyDescent="0.3">
      <c r="D466" s="170"/>
    </row>
    <row r="467" spans="4:4" ht="15.75" customHeight="1" x14ac:dyDescent="0.3">
      <c r="D467" s="170"/>
    </row>
    <row r="468" spans="4:4" ht="15.75" customHeight="1" x14ac:dyDescent="0.3">
      <c r="D468" s="170"/>
    </row>
    <row r="469" spans="4:4" ht="15.75" customHeight="1" x14ac:dyDescent="0.3">
      <c r="D469" s="170"/>
    </row>
    <row r="470" spans="4:4" ht="15.75" customHeight="1" x14ac:dyDescent="0.3">
      <c r="D470" s="170"/>
    </row>
    <row r="471" spans="4:4" ht="15.75" customHeight="1" x14ac:dyDescent="0.3">
      <c r="D471" s="170"/>
    </row>
    <row r="472" spans="4:4" ht="15.75" customHeight="1" x14ac:dyDescent="0.3">
      <c r="D472" s="170"/>
    </row>
    <row r="473" spans="4:4" ht="15.75" customHeight="1" x14ac:dyDescent="0.3">
      <c r="D473" s="170"/>
    </row>
    <row r="474" spans="4:4" ht="15.75" customHeight="1" x14ac:dyDescent="0.3">
      <c r="D474" s="170"/>
    </row>
    <row r="475" spans="4:4" ht="15.75" customHeight="1" x14ac:dyDescent="0.3">
      <c r="D475" s="170"/>
    </row>
    <row r="476" spans="4:4" ht="15.75" customHeight="1" x14ac:dyDescent="0.3">
      <c r="D476" s="170"/>
    </row>
    <row r="477" spans="4:4" ht="15.75" customHeight="1" x14ac:dyDescent="0.3">
      <c r="D477" s="170"/>
    </row>
    <row r="478" spans="4:4" ht="15.75" customHeight="1" x14ac:dyDescent="0.3">
      <c r="D478" s="170"/>
    </row>
    <row r="479" spans="4:4" ht="15.75" customHeight="1" x14ac:dyDescent="0.3">
      <c r="D479" s="170"/>
    </row>
    <row r="480" spans="4:4" ht="15.75" customHeight="1" x14ac:dyDescent="0.3">
      <c r="D480" s="170"/>
    </row>
    <row r="481" spans="4:4" ht="15.75" customHeight="1" x14ac:dyDescent="0.3">
      <c r="D481" s="170"/>
    </row>
    <row r="482" spans="4:4" ht="15.75" customHeight="1" x14ac:dyDescent="0.3">
      <c r="D482" s="170"/>
    </row>
    <row r="483" spans="4:4" ht="15.75" customHeight="1" x14ac:dyDescent="0.3">
      <c r="D483" s="170"/>
    </row>
    <row r="484" spans="4:4" ht="15.75" customHeight="1" x14ac:dyDescent="0.3">
      <c r="D484" s="170"/>
    </row>
    <row r="485" spans="4:4" ht="15.75" customHeight="1" x14ac:dyDescent="0.3">
      <c r="D485" s="170"/>
    </row>
    <row r="486" spans="4:4" ht="15.75" customHeight="1" x14ac:dyDescent="0.3">
      <c r="D486" s="170"/>
    </row>
    <row r="487" spans="4:4" ht="15.75" customHeight="1" x14ac:dyDescent="0.3">
      <c r="D487" s="170"/>
    </row>
    <row r="488" spans="4:4" ht="15.75" customHeight="1" x14ac:dyDescent="0.3">
      <c r="D488" s="170"/>
    </row>
    <row r="489" spans="4:4" ht="15.75" customHeight="1" x14ac:dyDescent="0.3">
      <c r="D489" s="170"/>
    </row>
    <row r="490" spans="4:4" ht="15.75" customHeight="1" x14ac:dyDescent="0.3">
      <c r="D490" s="170"/>
    </row>
    <row r="491" spans="4:4" ht="15.75" customHeight="1" x14ac:dyDescent="0.3">
      <c r="D491" s="170"/>
    </row>
    <row r="492" spans="4:4" ht="15.75" customHeight="1" x14ac:dyDescent="0.3">
      <c r="D492" s="170"/>
    </row>
    <row r="493" spans="4:4" ht="15.75" customHeight="1" x14ac:dyDescent="0.3">
      <c r="D493" s="170"/>
    </row>
    <row r="494" spans="4:4" ht="15.75" customHeight="1" x14ac:dyDescent="0.3">
      <c r="D494" s="170"/>
    </row>
    <row r="495" spans="4:4" ht="15.75" customHeight="1" x14ac:dyDescent="0.3">
      <c r="D495" s="170"/>
    </row>
    <row r="496" spans="4:4" ht="15.75" customHeight="1" x14ac:dyDescent="0.3">
      <c r="D496" s="170"/>
    </row>
    <row r="497" spans="4:4" ht="15.75" customHeight="1" x14ac:dyDescent="0.3">
      <c r="D497" s="170"/>
    </row>
    <row r="498" spans="4:4" ht="15.75" customHeight="1" x14ac:dyDescent="0.3">
      <c r="D498" s="170"/>
    </row>
    <row r="499" spans="4:4" ht="15.75" customHeight="1" x14ac:dyDescent="0.3">
      <c r="D499" s="170"/>
    </row>
    <row r="500" spans="4:4" ht="15.75" customHeight="1" x14ac:dyDescent="0.3">
      <c r="D500" s="170"/>
    </row>
    <row r="501" spans="4:4" ht="15.75" customHeight="1" x14ac:dyDescent="0.3">
      <c r="D501" s="170"/>
    </row>
    <row r="502" spans="4:4" ht="15.75" customHeight="1" x14ac:dyDescent="0.3">
      <c r="D502" s="170"/>
    </row>
    <row r="503" spans="4:4" ht="15.75" customHeight="1" x14ac:dyDescent="0.3">
      <c r="D503" s="170"/>
    </row>
    <row r="504" spans="4:4" ht="15.75" customHeight="1" x14ac:dyDescent="0.3">
      <c r="D504" s="170"/>
    </row>
    <row r="505" spans="4:4" ht="15.75" customHeight="1" x14ac:dyDescent="0.3">
      <c r="D505" s="170"/>
    </row>
    <row r="506" spans="4:4" ht="15.75" customHeight="1" x14ac:dyDescent="0.3">
      <c r="D506" s="170"/>
    </row>
    <row r="507" spans="4:4" ht="15.75" customHeight="1" x14ac:dyDescent="0.3">
      <c r="D507" s="170"/>
    </row>
    <row r="508" spans="4:4" ht="15.75" customHeight="1" x14ac:dyDescent="0.3">
      <c r="D508" s="170"/>
    </row>
    <row r="509" spans="4:4" ht="15.75" customHeight="1" x14ac:dyDescent="0.3">
      <c r="D509" s="170"/>
    </row>
    <row r="510" spans="4:4" ht="15.75" customHeight="1" x14ac:dyDescent="0.3">
      <c r="D510" s="170"/>
    </row>
    <row r="511" spans="4:4" ht="15.75" customHeight="1" x14ac:dyDescent="0.3">
      <c r="D511" s="170"/>
    </row>
    <row r="512" spans="4:4" ht="15.75" customHeight="1" x14ac:dyDescent="0.3">
      <c r="D512" s="170"/>
    </row>
    <row r="513" spans="4:4" ht="15.75" customHeight="1" x14ac:dyDescent="0.3">
      <c r="D513" s="170"/>
    </row>
    <row r="514" spans="4:4" ht="15.75" customHeight="1" x14ac:dyDescent="0.3">
      <c r="D514" s="170"/>
    </row>
    <row r="515" spans="4:4" ht="15.75" customHeight="1" x14ac:dyDescent="0.3">
      <c r="D515" s="170"/>
    </row>
    <row r="516" spans="4:4" ht="15.75" customHeight="1" x14ac:dyDescent="0.3">
      <c r="D516" s="170"/>
    </row>
    <row r="517" spans="4:4" ht="15.75" customHeight="1" x14ac:dyDescent="0.3">
      <c r="D517" s="170"/>
    </row>
    <row r="518" spans="4:4" ht="15.75" customHeight="1" x14ac:dyDescent="0.3">
      <c r="D518" s="170"/>
    </row>
    <row r="519" spans="4:4" ht="15.75" customHeight="1" x14ac:dyDescent="0.3">
      <c r="D519" s="170"/>
    </row>
    <row r="520" spans="4:4" ht="15.75" customHeight="1" x14ac:dyDescent="0.3">
      <c r="D520" s="170"/>
    </row>
    <row r="521" spans="4:4" ht="15.75" customHeight="1" x14ac:dyDescent="0.3">
      <c r="D521" s="170"/>
    </row>
    <row r="522" spans="4:4" ht="15.75" customHeight="1" x14ac:dyDescent="0.3">
      <c r="D522" s="170"/>
    </row>
    <row r="523" spans="4:4" ht="15.75" customHeight="1" x14ac:dyDescent="0.3">
      <c r="D523" s="170"/>
    </row>
    <row r="524" spans="4:4" ht="15.75" customHeight="1" x14ac:dyDescent="0.3">
      <c r="D524" s="170"/>
    </row>
    <row r="525" spans="4:4" ht="15.75" customHeight="1" x14ac:dyDescent="0.3">
      <c r="D525" s="170"/>
    </row>
    <row r="526" spans="4:4" ht="15.75" customHeight="1" x14ac:dyDescent="0.3">
      <c r="D526" s="170"/>
    </row>
    <row r="527" spans="4:4" ht="15.75" customHeight="1" x14ac:dyDescent="0.3">
      <c r="D527" s="170"/>
    </row>
    <row r="528" spans="4:4" ht="15.75" customHeight="1" x14ac:dyDescent="0.3">
      <c r="D528" s="170"/>
    </row>
    <row r="529" spans="4:4" ht="15.75" customHeight="1" x14ac:dyDescent="0.3">
      <c r="D529" s="170"/>
    </row>
    <row r="530" spans="4:4" ht="15.75" customHeight="1" x14ac:dyDescent="0.3">
      <c r="D530" s="170"/>
    </row>
    <row r="531" spans="4:4" ht="15.75" customHeight="1" x14ac:dyDescent="0.3">
      <c r="D531" s="170"/>
    </row>
    <row r="532" spans="4:4" ht="15.75" customHeight="1" x14ac:dyDescent="0.3">
      <c r="D532" s="170"/>
    </row>
    <row r="533" spans="4:4" ht="15.75" customHeight="1" x14ac:dyDescent="0.3">
      <c r="D533" s="170"/>
    </row>
    <row r="534" spans="4:4" ht="15.75" customHeight="1" x14ac:dyDescent="0.3">
      <c r="D534" s="170"/>
    </row>
    <row r="535" spans="4:4" ht="15.75" customHeight="1" x14ac:dyDescent="0.3">
      <c r="D535" s="170"/>
    </row>
    <row r="536" spans="4:4" ht="15.75" customHeight="1" x14ac:dyDescent="0.3">
      <c r="D536" s="170"/>
    </row>
    <row r="537" spans="4:4" ht="15.75" customHeight="1" x14ac:dyDescent="0.3">
      <c r="D537" s="170"/>
    </row>
    <row r="538" spans="4:4" ht="15.75" customHeight="1" x14ac:dyDescent="0.3">
      <c r="D538" s="170"/>
    </row>
    <row r="539" spans="4:4" ht="15.75" customHeight="1" x14ac:dyDescent="0.3">
      <c r="D539" s="170"/>
    </row>
    <row r="540" spans="4:4" ht="15.75" customHeight="1" x14ac:dyDescent="0.3">
      <c r="D540" s="170"/>
    </row>
    <row r="541" spans="4:4" ht="15.75" customHeight="1" x14ac:dyDescent="0.3">
      <c r="D541" s="170"/>
    </row>
    <row r="542" spans="4:4" ht="15.75" customHeight="1" x14ac:dyDescent="0.3">
      <c r="D542" s="170"/>
    </row>
    <row r="543" spans="4:4" ht="15.75" customHeight="1" x14ac:dyDescent="0.3">
      <c r="D543" s="170"/>
    </row>
    <row r="544" spans="4:4" ht="15.75" customHeight="1" x14ac:dyDescent="0.3">
      <c r="D544" s="170"/>
    </row>
    <row r="545" spans="4:4" ht="15.75" customHeight="1" x14ac:dyDescent="0.3">
      <c r="D545" s="170"/>
    </row>
    <row r="546" spans="4:4" ht="15.75" customHeight="1" x14ac:dyDescent="0.3">
      <c r="D546" s="170"/>
    </row>
    <row r="547" spans="4:4" ht="15.75" customHeight="1" x14ac:dyDescent="0.3">
      <c r="D547" s="170"/>
    </row>
    <row r="548" spans="4:4" ht="15.75" customHeight="1" x14ac:dyDescent="0.3">
      <c r="D548" s="170"/>
    </row>
    <row r="549" spans="4:4" ht="15.75" customHeight="1" x14ac:dyDescent="0.3">
      <c r="D549" s="170"/>
    </row>
    <row r="550" spans="4:4" ht="15.75" customHeight="1" x14ac:dyDescent="0.3">
      <c r="D550" s="170"/>
    </row>
    <row r="551" spans="4:4" ht="15.75" customHeight="1" x14ac:dyDescent="0.3">
      <c r="D551" s="170"/>
    </row>
    <row r="552" spans="4:4" ht="15.75" customHeight="1" x14ac:dyDescent="0.3">
      <c r="D552" s="170"/>
    </row>
    <row r="553" spans="4:4" ht="15.75" customHeight="1" x14ac:dyDescent="0.3">
      <c r="D553" s="170"/>
    </row>
    <row r="554" spans="4:4" ht="15.75" customHeight="1" x14ac:dyDescent="0.3">
      <c r="D554" s="170"/>
    </row>
    <row r="555" spans="4:4" ht="15.75" customHeight="1" x14ac:dyDescent="0.3">
      <c r="D555" s="170"/>
    </row>
    <row r="556" spans="4:4" ht="15.75" customHeight="1" x14ac:dyDescent="0.3">
      <c r="D556" s="170"/>
    </row>
    <row r="557" spans="4:4" ht="15.75" customHeight="1" x14ac:dyDescent="0.3">
      <c r="D557" s="170"/>
    </row>
    <row r="558" spans="4:4" ht="15.75" customHeight="1" x14ac:dyDescent="0.3">
      <c r="D558" s="170"/>
    </row>
    <row r="559" spans="4:4" ht="15.75" customHeight="1" x14ac:dyDescent="0.3">
      <c r="D559" s="170"/>
    </row>
    <row r="560" spans="4:4" ht="15.75" customHeight="1" x14ac:dyDescent="0.3">
      <c r="D560" s="170"/>
    </row>
    <row r="561" spans="4:4" ht="15.75" customHeight="1" x14ac:dyDescent="0.3">
      <c r="D561" s="170"/>
    </row>
    <row r="562" spans="4:4" ht="15.75" customHeight="1" x14ac:dyDescent="0.3">
      <c r="D562" s="170"/>
    </row>
    <row r="563" spans="4:4" ht="15.75" customHeight="1" x14ac:dyDescent="0.3">
      <c r="D563" s="170"/>
    </row>
    <row r="564" spans="4:4" ht="15.75" customHeight="1" x14ac:dyDescent="0.3">
      <c r="D564" s="170"/>
    </row>
    <row r="565" spans="4:4" ht="15.75" customHeight="1" x14ac:dyDescent="0.3">
      <c r="D565" s="170"/>
    </row>
    <row r="566" spans="4:4" ht="15.75" customHeight="1" x14ac:dyDescent="0.3">
      <c r="D566" s="170"/>
    </row>
    <row r="567" spans="4:4" ht="15.75" customHeight="1" x14ac:dyDescent="0.3">
      <c r="D567" s="170"/>
    </row>
    <row r="568" spans="4:4" ht="15.75" customHeight="1" x14ac:dyDescent="0.3">
      <c r="D568" s="170"/>
    </row>
    <row r="569" spans="4:4" ht="15.75" customHeight="1" x14ac:dyDescent="0.3">
      <c r="D569" s="170"/>
    </row>
    <row r="570" spans="4:4" ht="15.75" customHeight="1" x14ac:dyDescent="0.3">
      <c r="D570" s="170"/>
    </row>
    <row r="571" spans="4:4" ht="15.75" customHeight="1" x14ac:dyDescent="0.3">
      <c r="D571" s="170"/>
    </row>
    <row r="572" spans="4:4" ht="15.75" customHeight="1" x14ac:dyDescent="0.3">
      <c r="D572" s="170"/>
    </row>
    <row r="573" spans="4:4" ht="15.75" customHeight="1" x14ac:dyDescent="0.3">
      <c r="D573" s="170"/>
    </row>
    <row r="574" spans="4:4" ht="15.75" customHeight="1" x14ac:dyDescent="0.3">
      <c r="D574" s="170"/>
    </row>
    <row r="575" spans="4:4" ht="15.75" customHeight="1" x14ac:dyDescent="0.3">
      <c r="D575" s="170"/>
    </row>
    <row r="576" spans="4:4" ht="15.75" customHeight="1" x14ac:dyDescent="0.3">
      <c r="D576" s="170"/>
    </row>
    <row r="577" spans="4:4" ht="15.75" customHeight="1" x14ac:dyDescent="0.3">
      <c r="D577" s="170"/>
    </row>
    <row r="578" spans="4:4" ht="15.75" customHeight="1" x14ac:dyDescent="0.3">
      <c r="D578" s="170"/>
    </row>
    <row r="579" spans="4:4" ht="15.75" customHeight="1" x14ac:dyDescent="0.3">
      <c r="D579" s="170"/>
    </row>
    <row r="580" spans="4:4" ht="15.75" customHeight="1" x14ac:dyDescent="0.3">
      <c r="D580" s="170"/>
    </row>
    <row r="581" spans="4:4" ht="15.75" customHeight="1" x14ac:dyDescent="0.3">
      <c r="D581" s="170"/>
    </row>
    <row r="582" spans="4:4" ht="15.75" customHeight="1" x14ac:dyDescent="0.3">
      <c r="D582" s="170"/>
    </row>
    <row r="583" spans="4:4" ht="15.75" customHeight="1" x14ac:dyDescent="0.3">
      <c r="D583" s="170"/>
    </row>
    <row r="584" spans="4:4" ht="15.75" customHeight="1" x14ac:dyDescent="0.3">
      <c r="D584" s="170"/>
    </row>
    <row r="585" spans="4:4" ht="15.75" customHeight="1" x14ac:dyDescent="0.3">
      <c r="D585" s="170"/>
    </row>
    <row r="586" spans="4:4" ht="15.75" customHeight="1" x14ac:dyDescent="0.3">
      <c r="D586" s="170"/>
    </row>
    <row r="587" spans="4:4" ht="15.75" customHeight="1" x14ac:dyDescent="0.3">
      <c r="D587" s="170"/>
    </row>
    <row r="588" spans="4:4" ht="15.75" customHeight="1" x14ac:dyDescent="0.3">
      <c r="D588" s="170"/>
    </row>
    <row r="589" spans="4:4" ht="15.75" customHeight="1" x14ac:dyDescent="0.3">
      <c r="D589" s="170"/>
    </row>
    <row r="590" spans="4:4" ht="15.75" customHeight="1" x14ac:dyDescent="0.3">
      <c r="D590" s="170"/>
    </row>
    <row r="591" spans="4:4" ht="15.75" customHeight="1" x14ac:dyDescent="0.3">
      <c r="D591" s="170"/>
    </row>
    <row r="592" spans="4:4" ht="15.75" customHeight="1" x14ac:dyDescent="0.3">
      <c r="D592" s="170"/>
    </row>
    <row r="593" spans="4:4" ht="15.75" customHeight="1" x14ac:dyDescent="0.3">
      <c r="D593" s="170"/>
    </row>
    <row r="594" spans="4:4" ht="15.75" customHeight="1" x14ac:dyDescent="0.3">
      <c r="D594" s="170"/>
    </row>
    <row r="595" spans="4:4" ht="15.75" customHeight="1" x14ac:dyDescent="0.3">
      <c r="D595" s="170"/>
    </row>
    <row r="596" spans="4:4" ht="15.75" customHeight="1" x14ac:dyDescent="0.3">
      <c r="D596" s="170"/>
    </row>
    <row r="597" spans="4:4" ht="15.75" customHeight="1" x14ac:dyDescent="0.3">
      <c r="D597" s="170"/>
    </row>
    <row r="598" spans="4:4" ht="15.75" customHeight="1" x14ac:dyDescent="0.3">
      <c r="D598" s="170"/>
    </row>
    <row r="599" spans="4:4" ht="15.75" customHeight="1" x14ac:dyDescent="0.3">
      <c r="D599" s="170"/>
    </row>
    <row r="600" spans="4:4" ht="15.75" customHeight="1" x14ac:dyDescent="0.3">
      <c r="D600" s="170"/>
    </row>
    <row r="601" spans="4:4" ht="15.75" customHeight="1" x14ac:dyDescent="0.3">
      <c r="D601" s="170"/>
    </row>
    <row r="602" spans="4:4" ht="15.75" customHeight="1" x14ac:dyDescent="0.3">
      <c r="D602" s="170"/>
    </row>
    <row r="603" spans="4:4" ht="15.75" customHeight="1" x14ac:dyDescent="0.3">
      <c r="D603" s="170"/>
    </row>
    <row r="604" spans="4:4" ht="15.75" customHeight="1" x14ac:dyDescent="0.3">
      <c r="D604" s="170"/>
    </row>
    <row r="605" spans="4:4" ht="15.75" customHeight="1" x14ac:dyDescent="0.3">
      <c r="D605" s="170"/>
    </row>
    <row r="606" spans="4:4" ht="15.75" customHeight="1" x14ac:dyDescent="0.3">
      <c r="D606" s="170"/>
    </row>
    <row r="607" spans="4:4" ht="15.75" customHeight="1" x14ac:dyDescent="0.3">
      <c r="D607" s="170"/>
    </row>
    <row r="608" spans="4:4" ht="15.75" customHeight="1" x14ac:dyDescent="0.3">
      <c r="D608" s="170"/>
    </row>
    <row r="609" spans="4:4" ht="15.75" customHeight="1" x14ac:dyDescent="0.3">
      <c r="D609" s="170"/>
    </row>
    <row r="610" spans="4:4" ht="15.75" customHeight="1" x14ac:dyDescent="0.3">
      <c r="D610" s="170"/>
    </row>
    <row r="611" spans="4:4" ht="15.75" customHeight="1" x14ac:dyDescent="0.3">
      <c r="D611" s="170"/>
    </row>
    <row r="612" spans="4:4" ht="15.75" customHeight="1" x14ac:dyDescent="0.3">
      <c r="D612" s="170"/>
    </row>
    <row r="613" spans="4:4" ht="15.75" customHeight="1" x14ac:dyDescent="0.3">
      <c r="D613" s="170"/>
    </row>
    <row r="614" spans="4:4" ht="15.75" customHeight="1" x14ac:dyDescent="0.3">
      <c r="D614" s="170"/>
    </row>
    <row r="615" spans="4:4" ht="15.75" customHeight="1" x14ac:dyDescent="0.3">
      <c r="D615" s="170"/>
    </row>
    <row r="616" spans="4:4" ht="15.75" customHeight="1" x14ac:dyDescent="0.3">
      <c r="D616" s="170"/>
    </row>
    <row r="617" spans="4:4" ht="15.75" customHeight="1" x14ac:dyDescent="0.3">
      <c r="D617" s="170"/>
    </row>
    <row r="618" spans="4:4" ht="15.75" customHeight="1" x14ac:dyDescent="0.3">
      <c r="D618" s="170"/>
    </row>
    <row r="619" spans="4:4" ht="15.75" customHeight="1" x14ac:dyDescent="0.3">
      <c r="D619" s="170"/>
    </row>
    <row r="620" spans="4:4" ht="15.75" customHeight="1" x14ac:dyDescent="0.3">
      <c r="D620" s="170"/>
    </row>
    <row r="621" spans="4:4" ht="15.75" customHeight="1" x14ac:dyDescent="0.3">
      <c r="D621" s="170"/>
    </row>
    <row r="622" spans="4:4" ht="15.75" customHeight="1" x14ac:dyDescent="0.3">
      <c r="D622" s="170"/>
    </row>
    <row r="623" spans="4:4" ht="15.75" customHeight="1" x14ac:dyDescent="0.3">
      <c r="D623" s="170"/>
    </row>
    <row r="624" spans="4:4" ht="15.75" customHeight="1" x14ac:dyDescent="0.3">
      <c r="D624" s="170"/>
    </row>
    <row r="625" spans="4:4" ht="15.75" customHeight="1" x14ac:dyDescent="0.3">
      <c r="D625" s="170"/>
    </row>
    <row r="626" spans="4:4" ht="15.75" customHeight="1" x14ac:dyDescent="0.3">
      <c r="D626" s="170"/>
    </row>
    <row r="627" spans="4:4" ht="15.75" customHeight="1" x14ac:dyDescent="0.3">
      <c r="D627" s="170"/>
    </row>
    <row r="628" spans="4:4" ht="15.75" customHeight="1" x14ac:dyDescent="0.3">
      <c r="D628" s="170"/>
    </row>
    <row r="629" spans="4:4" ht="15.75" customHeight="1" x14ac:dyDescent="0.3">
      <c r="D629" s="170"/>
    </row>
    <row r="630" spans="4:4" ht="15.75" customHeight="1" x14ac:dyDescent="0.3">
      <c r="D630" s="170"/>
    </row>
    <row r="631" spans="4:4" ht="15.75" customHeight="1" x14ac:dyDescent="0.3">
      <c r="D631" s="170"/>
    </row>
    <row r="632" spans="4:4" ht="15.75" customHeight="1" x14ac:dyDescent="0.3">
      <c r="D632" s="170"/>
    </row>
    <row r="633" spans="4:4" ht="15.75" customHeight="1" x14ac:dyDescent="0.3">
      <c r="D633" s="170"/>
    </row>
    <row r="634" spans="4:4" ht="15.75" customHeight="1" x14ac:dyDescent="0.3">
      <c r="D634" s="170"/>
    </row>
    <row r="635" spans="4:4" ht="15.75" customHeight="1" x14ac:dyDescent="0.3">
      <c r="D635" s="170"/>
    </row>
    <row r="636" spans="4:4" ht="15.75" customHeight="1" x14ac:dyDescent="0.3">
      <c r="D636" s="170"/>
    </row>
    <row r="637" spans="4:4" ht="15.75" customHeight="1" x14ac:dyDescent="0.3">
      <c r="D637" s="170"/>
    </row>
    <row r="638" spans="4:4" ht="15.75" customHeight="1" x14ac:dyDescent="0.3">
      <c r="D638" s="170"/>
    </row>
    <row r="639" spans="4:4" ht="15.75" customHeight="1" x14ac:dyDescent="0.3">
      <c r="D639" s="170"/>
    </row>
    <row r="640" spans="4:4" ht="15.75" customHeight="1" x14ac:dyDescent="0.3">
      <c r="D640" s="170"/>
    </row>
    <row r="641" spans="4:4" ht="15.75" customHeight="1" x14ac:dyDescent="0.3">
      <c r="D641" s="170"/>
    </row>
    <row r="642" spans="4:4" ht="15.75" customHeight="1" x14ac:dyDescent="0.3">
      <c r="D642" s="170"/>
    </row>
    <row r="643" spans="4:4" ht="15.75" customHeight="1" x14ac:dyDescent="0.3">
      <c r="D643" s="170"/>
    </row>
    <row r="644" spans="4:4" ht="15.75" customHeight="1" x14ac:dyDescent="0.3">
      <c r="D644" s="170"/>
    </row>
    <row r="645" spans="4:4" ht="15.75" customHeight="1" x14ac:dyDescent="0.3">
      <c r="D645" s="170"/>
    </row>
    <row r="646" spans="4:4" ht="15.75" customHeight="1" x14ac:dyDescent="0.3">
      <c r="D646" s="170"/>
    </row>
    <row r="647" spans="4:4" ht="15.75" customHeight="1" x14ac:dyDescent="0.3">
      <c r="D647" s="170"/>
    </row>
    <row r="648" spans="4:4" ht="15.75" customHeight="1" x14ac:dyDescent="0.3">
      <c r="D648" s="170"/>
    </row>
    <row r="649" spans="4:4" ht="15.75" customHeight="1" x14ac:dyDescent="0.3">
      <c r="D649" s="170"/>
    </row>
    <row r="650" spans="4:4" ht="15.75" customHeight="1" x14ac:dyDescent="0.3">
      <c r="D650" s="170"/>
    </row>
    <row r="651" spans="4:4" ht="15.75" customHeight="1" x14ac:dyDescent="0.3">
      <c r="D651" s="170"/>
    </row>
    <row r="652" spans="4:4" ht="15.75" customHeight="1" x14ac:dyDescent="0.3">
      <c r="D652" s="170"/>
    </row>
    <row r="653" spans="4:4" ht="15.75" customHeight="1" x14ac:dyDescent="0.3">
      <c r="D653" s="170"/>
    </row>
    <row r="654" spans="4:4" ht="15.75" customHeight="1" x14ac:dyDescent="0.3">
      <c r="D654" s="170"/>
    </row>
    <row r="655" spans="4:4" ht="15.75" customHeight="1" x14ac:dyDescent="0.3">
      <c r="D655" s="170"/>
    </row>
    <row r="656" spans="4:4" ht="15.75" customHeight="1" x14ac:dyDescent="0.3">
      <c r="D656" s="170"/>
    </row>
    <row r="657" spans="4:4" ht="15.75" customHeight="1" x14ac:dyDescent="0.3">
      <c r="D657" s="170"/>
    </row>
    <row r="658" spans="4:4" ht="15.75" customHeight="1" x14ac:dyDescent="0.3">
      <c r="D658" s="170"/>
    </row>
    <row r="659" spans="4:4" ht="15.75" customHeight="1" x14ac:dyDescent="0.3">
      <c r="D659" s="170"/>
    </row>
    <row r="660" spans="4:4" ht="15.75" customHeight="1" x14ac:dyDescent="0.3">
      <c r="D660" s="170"/>
    </row>
    <row r="661" spans="4:4" ht="15.75" customHeight="1" x14ac:dyDescent="0.3">
      <c r="D661" s="170"/>
    </row>
    <row r="662" spans="4:4" ht="15.75" customHeight="1" x14ac:dyDescent="0.3">
      <c r="D662" s="170"/>
    </row>
    <row r="663" spans="4:4" ht="15.75" customHeight="1" x14ac:dyDescent="0.3">
      <c r="D663" s="170"/>
    </row>
    <row r="664" spans="4:4" ht="15.75" customHeight="1" x14ac:dyDescent="0.3">
      <c r="D664" s="170"/>
    </row>
    <row r="665" spans="4:4" ht="15.75" customHeight="1" x14ac:dyDescent="0.3">
      <c r="D665" s="170"/>
    </row>
    <row r="666" spans="4:4" ht="15.75" customHeight="1" x14ac:dyDescent="0.3">
      <c r="D666" s="170"/>
    </row>
    <row r="667" spans="4:4" ht="15.75" customHeight="1" x14ac:dyDescent="0.3">
      <c r="D667" s="170"/>
    </row>
    <row r="668" spans="4:4" ht="15.75" customHeight="1" x14ac:dyDescent="0.3">
      <c r="D668" s="170"/>
    </row>
    <row r="669" spans="4:4" ht="15.75" customHeight="1" x14ac:dyDescent="0.3">
      <c r="D669" s="170"/>
    </row>
    <row r="670" spans="4:4" ht="15.75" customHeight="1" x14ac:dyDescent="0.3">
      <c r="D670" s="170"/>
    </row>
    <row r="671" spans="4:4" ht="15.75" customHeight="1" x14ac:dyDescent="0.3">
      <c r="D671" s="170"/>
    </row>
    <row r="672" spans="4:4" ht="15.75" customHeight="1" x14ac:dyDescent="0.3">
      <c r="D672" s="170"/>
    </row>
    <row r="673" spans="4:4" ht="15.75" customHeight="1" x14ac:dyDescent="0.3">
      <c r="D673" s="170"/>
    </row>
    <row r="674" spans="4:4" ht="15.75" customHeight="1" x14ac:dyDescent="0.3">
      <c r="D674" s="170"/>
    </row>
    <row r="675" spans="4:4" ht="15.75" customHeight="1" x14ac:dyDescent="0.3">
      <c r="D675" s="170"/>
    </row>
    <row r="676" spans="4:4" ht="15.75" customHeight="1" x14ac:dyDescent="0.3">
      <c r="D676" s="170"/>
    </row>
    <row r="677" spans="4:4" ht="15.75" customHeight="1" x14ac:dyDescent="0.3">
      <c r="D677" s="170"/>
    </row>
    <row r="678" spans="4:4" ht="15.75" customHeight="1" x14ac:dyDescent="0.3">
      <c r="D678" s="170"/>
    </row>
    <row r="679" spans="4:4" ht="15.75" customHeight="1" x14ac:dyDescent="0.3">
      <c r="D679" s="170"/>
    </row>
    <row r="680" spans="4:4" ht="15.75" customHeight="1" x14ac:dyDescent="0.3">
      <c r="D680" s="170"/>
    </row>
    <row r="681" spans="4:4" ht="15.75" customHeight="1" x14ac:dyDescent="0.3">
      <c r="D681" s="170"/>
    </row>
    <row r="682" spans="4:4" ht="15.75" customHeight="1" x14ac:dyDescent="0.3">
      <c r="D682" s="170"/>
    </row>
    <row r="683" spans="4:4" ht="15.75" customHeight="1" x14ac:dyDescent="0.3">
      <c r="D683" s="170"/>
    </row>
    <row r="684" spans="4:4" ht="15.75" customHeight="1" x14ac:dyDescent="0.3">
      <c r="D684" s="170"/>
    </row>
    <row r="685" spans="4:4" ht="15.75" customHeight="1" x14ac:dyDescent="0.3">
      <c r="D685" s="170"/>
    </row>
    <row r="686" spans="4:4" ht="15.75" customHeight="1" x14ac:dyDescent="0.3">
      <c r="D686" s="170"/>
    </row>
    <row r="687" spans="4:4" ht="15.75" customHeight="1" x14ac:dyDescent="0.3">
      <c r="D687" s="170"/>
    </row>
    <row r="688" spans="4:4" ht="15.75" customHeight="1" x14ac:dyDescent="0.3">
      <c r="D688" s="170"/>
    </row>
    <row r="689" spans="4:4" ht="15.75" customHeight="1" x14ac:dyDescent="0.3">
      <c r="D689" s="170"/>
    </row>
    <row r="690" spans="4:4" ht="15.75" customHeight="1" x14ac:dyDescent="0.3">
      <c r="D690" s="170"/>
    </row>
    <row r="691" spans="4:4" ht="15.75" customHeight="1" x14ac:dyDescent="0.3">
      <c r="D691" s="170"/>
    </row>
    <row r="692" spans="4:4" ht="15.75" customHeight="1" x14ac:dyDescent="0.3">
      <c r="D692" s="170"/>
    </row>
    <row r="693" spans="4:4" ht="15.75" customHeight="1" x14ac:dyDescent="0.3">
      <c r="D693" s="170"/>
    </row>
    <row r="694" spans="4:4" ht="15.75" customHeight="1" x14ac:dyDescent="0.3">
      <c r="D694" s="170"/>
    </row>
    <row r="695" spans="4:4" ht="15.75" customHeight="1" x14ac:dyDescent="0.3">
      <c r="D695" s="170"/>
    </row>
    <row r="696" spans="4:4" ht="15.75" customHeight="1" x14ac:dyDescent="0.3">
      <c r="D696" s="170"/>
    </row>
    <row r="697" spans="4:4" ht="15.75" customHeight="1" x14ac:dyDescent="0.3">
      <c r="D697" s="170"/>
    </row>
    <row r="698" spans="4:4" ht="15.75" customHeight="1" x14ac:dyDescent="0.3">
      <c r="D698" s="170"/>
    </row>
    <row r="699" spans="4:4" ht="15.75" customHeight="1" x14ac:dyDescent="0.3">
      <c r="D699" s="170"/>
    </row>
    <row r="700" spans="4:4" ht="15.75" customHeight="1" x14ac:dyDescent="0.3">
      <c r="D700" s="170"/>
    </row>
    <row r="701" spans="4:4" ht="15.75" customHeight="1" x14ac:dyDescent="0.3">
      <c r="D701" s="170"/>
    </row>
    <row r="702" spans="4:4" ht="15.75" customHeight="1" x14ac:dyDescent="0.3">
      <c r="D702" s="170"/>
    </row>
    <row r="703" spans="4:4" ht="15.75" customHeight="1" x14ac:dyDescent="0.3">
      <c r="D703" s="170"/>
    </row>
    <row r="704" spans="4:4" ht="15.75" customHeight="1" x14ac:dyDescent="0.3">
      <c r="D704" s="170"/>
    </row>
    <row r="705" spans="4:4" ht="15.75" customHeight="1" x14ac:dyDescent="0.3">
      <c r="D705" s="170"/>
    </row>
    <row r="706" spans="4:4" ht="15.75" customHeight="1" x14ac:dyDescent="0.3">
      <c r="D706" s="170"/>
    </row>
    <row r="707" spans="4:4" ht="15.75" customHeight="1" x14ac:dyDescent="0.3">
      <c r="D707" s="170"/>
    </row>
    <row r="708" spans="4:4" ht="15.75" customHeight="1" x14ac:dyDescent="0.3">
      <c r="D708" s="170"/>
    </row>
    <row r="709" spans="4:4" ht="15.75" customHeight="1" x14ac:dyDescent="0.3">
      <c r="D709" s="170"/>
    </row>
    <row r="710" spans="4:4" ht="15.75" customHeight="1" x14ac:dyDescent="0.3">
      <c r="D710" s="170"/>
    </row>
    <row r="711" spans="4:4" ht="15.75" customHeight="1" x14ac:dyDescent="0.3">
      <c r="D711" s="170"/>
    </row>
    <row r="712" spans="4:4" ht="15.75" customHeight="1" x14ac:dyDescent="0.3">
      <c r="D712" s="170"/>
    </row>
    <row r="713" spans="4:4" ht="15.75" customHeight="1" x14ac:dyDescent="0.3">
      <c r="D713" s="170"/>
    </row>
    <row r="714" spans="4:4" ht="15.75" customHeight="1" x14ac:dyDescent="0.3">
      <c r="D714" s="170"/>
    </row>
    <row r="715" spans="4:4" ht="15.75" customHeight="1" x14ac:dyDescent="0.3">
      <c r="D715" s="170"/>
    </row>
    <row r="716" spans="4:4" ht="15.75" customHeight="1" x14ac:dyDescent="0.3">
      <c r="D716" s="170"/>
    </row>
    <row r="717" spans="4:4" ht="15.75" customHeight="1" x14ac:dyDescent="0.3">
      <c r="D717" s="170"/>
    </row>
    <row r="718" spans="4:4" ht="15.75" customHeight="1" x14ac:dyDescent="0.3">
      <c r="D718" s="170"/>
    </row>
    <row r="719" spans="4:4" ht="15.75" customHeight="1" x14ac:dyDescent="0.3">
      <c r="D719" s="170"/>
    </row>
    <row r="720" spans="4:4" ht="15.75" customHeight="1" x14ac:dyDescent="0.3">
      <c r="D720" s="170"/>
    </row>
    <row r="721" spans="4:4" ht="15.75" customHeight="1" x14ac:dyDescent="0.3">
      <c r="D721" s="170"/>
    </row>
    <row r="722" spans="4:4" ht="15.75" customHeight="1" x14ac:dyDescent="0.3">
      <c r="D722" s="170"/>
    </row>
    <row r="723" spans="4:4" ht="15.75" customHeight="1" x14ac:dyDescent="0.3">
      <c r="D723" s="170"/>
    </row>
    <row r="724" spans="4:4" ht="15.75" customHeight="1" x14ac:dyDescent="0.3">
      <c r="D724" s="170"/>
    </row>
    <row r="725" spans="4:4" ht="15.75" customHeight="1" x14ac:dyDescent="0.3">
      <c r="D725" s="170"/>
    </row>
    <row r="726" spans="4:4" ht="15.75" customHeight="1" x14ac:dyDescent="0.3">
      <c r="D726" s="170"/>
    </row>
    <row r="727" spans="4:4" ht="15.75" customHeight="1" x14ac:dyDescent="0.3">
      <c r="D727" s="170"/>
    </row>
    <row r="728" spans="4:4" ht="15.75" customHeight="1" x14ac:dyDescent="0.3">
      <c r="D728" s="170"/>
    </row>
    <row r="729" spans="4:4" ht="15.75" customHeight="1" x14ac:dyDescent="0.3">
      <c r="D729" s="170"/>
    </row>
    <row r="730" spans="4:4" ht="15.75" customHeight="1" x14ac:dyDescent="0.3">
      <c r="D730" s="170"/>
    </row>
    <row r="731" spans="4:4" ht="15.75" customHeight="1" x14ac:dyDescent="0.3">
      <c r="D731" s="170"/>
    </row>
    <row r="732" spans="4:4" ht="15.75" customHeight="1" x14ac:dyDescent="0.3">
      <c r="D732" s="170"/>
    </row>
    <row r="733" spans="4:4" ht="15.75" customHeight="1" x14ac:dyDescent="0.3">
      <c r="D733" s="170"/>
    </row>
    <row r="734" spans="4:4" ht="15.75" customHeight="1" x14ac:dyDescent="0.3">
      <c r="D734" s="170"/>
    </row>
    <row r="735" spans="4:4" ht="15.75" customHeight="1" x14ac:dyDescent="0.3">
      <c r="D735" s="170"/>
    </row>
    <row r="736" spans="4:4" ht="15.75" customHeight="1" x14ac:dyDescent="0.3">
      <c r="D736" s="170"/>
    </row>
    <row r="737" spans="4:4" ht="15.75" customHeight="1" x14ac:dyDescent="0.3">
      <c r="D737" s="170"/>
    </row>
    <row r="738" spans="4:4" ht="15.75" customHeight="1" x14ac:dyDescent="0.3">
      <c r="D738" s="170"/>
    </row>
    <row r="739" spans="4:4" ht="15.75" customHeight="1" x14ac:dyDescent="0.3">
      <c r="D739" s="170"/>
    </row>
    <row r="740" spans="4:4" ht="15.75" customHeight="1" x14ac:dyDescent="0.3">
      <c r="D740" s="170"/>
    </row>
    <row r="741" spans="4:4" ht="15.75" customHeight="1" x14ac:dyDescent="0.3">
      <c r="D741" s="170"/>
    </row>
    <row r="742" spans="4:4" ht="15.75" customHeight="1" x14ac:dyDescent="0.3">
      <c r="D742" s="170"/>
    </row>
    <row r="743" spans="4:4" ht="15.75" customHeight="1" x14ac:dyDescent="0.3">
      <c r="D743" s="170"/>
    </row>
    <row r="744" spans="4:4" ht="15.75" customHeight="1" x14ac:dyDescent="0.3">
      <c r="D744" s="170"/>
    </row>
    <row r="745" spans="4:4" ht="15.75" customHeight="1" x14ac:dyDescent="0.3">
      <c r="D745" s="170"/>
    </row>
    <row r="746" spans="4:4" ht="15.75" customHeight="1" x14ac:dyDescent="0.3">
      <c r="D746" s="170"/>
    </row>
    <row r="747" spans="4:4" ht="15.75" customHeight="1" x14ac:dyDescent="0.3">
      <c r="D747" s="170"/>
    </row>
    <row r="748" spans="4:4" ht="15.75" customHeight="1" x14ac:dyDescent="0.3">
      <c r="D748" s="170"/>
    </row>
    <row r="749" spans="4:4" ht="15.75" customHeight="1" x14ac:dyDescent="0.3">
      <c r="D749" s="170"/>
    </row>
    <row r="750" spans="4:4" ht="15.75" customHeight="1" x14ac:dyDescent="0.3">
      <c r="D750" s="170"/>
    </row>
    <row r="751" spans="4:4" ht="15.75" customHeight="1" x14ac:dyDescent="0.3">
      <c r="D751" s="170"/>
    </row>
    <row r="752" spans="4:4" ht="15.75" customHeight="1" x14ac:dyDescent="0.3">
      <c r="D752" s="170"/>
    </row>
    <row r="753" spans="4:4" ht="15.75" customHeight="1" x14ac:dyDescent="0.3">
      <c r="D753" s="170"/>
    </row>
    <row r="754" spans="4:4" ht="15.75" customHeight="1" x14ac:dyDescent="0.3">
      <c r="D754" s="170"/>
    </row>
    <row r="755" spans="4:4" ht="15.75" customHeight="1" x14ac:dyDescent="0.3">
      <c r="D755" s="170"/>
    </row>
    <row r="756" spans="4:4" ht="15.75" customHeight="1" x14ac:dyDescent="0.3">
      <c r="D756" s="170"/>
    </row>
    <row r="757" spans="4:4" ht="15.75" customHeight="1" x14ac:dyDescent="0.3">
      <c r="D757" s="170"/>
    </row>
    <row r="758" spans="4:4" ht="15.75" customHeight="1" x14ac:dyDescent="0.3">
      <c r="D758" s="170"/>
    </row>
    <row r="759" spans="4:4" ht="15.75" customHeight="1" x14ac:dyDescent="0.3">
      <c r="D759" s="170"/>
    </row>
    <row r="760" spans="4:4" ht="15.75" customHeight="1" x14ac:dyDescent="0.3">
      <c r="D760" s="170"/>
    </row>
    <row r="761" spans="4:4" ht="15.75" customHeight="1" x14ac:dyDescent="0.3">
      <c r="D761" s="170"/>
    </row>
    <row r="762" spans="4:4" ht="15.75" customHeight="1" x14ac:dyDescent="0.3">
      <c r="D762" s="170"/>
    </row>
    <row r="763" spans="4:4" ht="15.75" customHeight="1" x14ac:dyDescent="0.3">
      <c r="D763" s="170"/>
    </row>
    <row r="764" spans="4:4" ht="15.75" customHeight="1" x14ac:dyDescent="0.3">
      <c r="D764" s="170"/>
    </row>
    <row r="765" spans="4:4" ht="15.75" customHeight="1" x14ac:dyDescent="0.3">
      <c r="D765" s="170"/>
    </row>
    <row r="766" spans="4:4" ht="15.75" customHeight="1" x14ac:dyDescent="0.3">
      <c r="D766" s="170"/>
    </row>
    <row r="767" spans="4:4" ht="15.75" customHeight="1" x14ac:dyDescent="0.3">
      <c r="D767" s="170"/>
    </row>
    <row r="768" spans="4:4" ht="15.75" customHeight="1" x14ac:dyDescent="0.3">
      <c r="D768" s="170"/>
    </row>
    <row r="769" spans="4:4" ht="15.75" customHeight="1" x14ac:dyDescent="0.3">
      <c r="D769" s="170"/>
    </row>
    <row r="770" spans="4:4" ht="15.75" customHeight="1" x14ac:dyDescent="0.3">
      <c r="D770" s="170"/>
    </row>
    <row r="771" spans="4:4" ht="15.75" customHeight="1" x14ac:dyDescent="0.3">
      <c r="D771" s="170"/>
    </row>
    <row r="772" spans="4:4" ht="15.75" customHeight="1" x14ac:dyDescent="0.3">
      <c r="D772" s="170"/>
    </row>
    <row r="773" spans="4:4" ht="15.75" customHeight="1" x14ac:dyDescent="0.3">
      <c r="D773" s="170"/>
    </row>
    <row r="774" spans="4:4" ht="15.75" customHeight="1" x14ac:dyDescent="0.3">
      <c r="D774" s="170"/>
    </row>
    <row r="775" spans="4:4" ht="15.75" customHeight="1" x14ac:dyDescent="0.3">
      <c r="D775" s="170"/>
    </row>
    <row r="776" spans="4:4" ht="15.75" customHeight="1" x14ac:dyDescent="0.3">
      <c r="D776" s="170"/>
    </row>
    <row r="777" spans="4:4" ht="15.75" customHeight="1" x14ac:dyDescent="0.3">
      <c r="D777" s="170"/>
    </row>
    <row r="778" spans="4:4" ht="15.75" customHeight="1" x14ac:dyDescent="0.3">
      <c r="D778" s="170"/>
    </row>
    <row r="779" spans="4:4" ht="15.75" customHeight="1" x14ac:dyDescent="0.3">
      <c r="D779" s="170"/>
    </row>
    <row r="780" spans="4:4" ht="15.75" customHeight="1" x14ac:dyDescent="0.3">
      <c r="D780" s="170"/>
    </row>
    <row r="781" spans="4:4" ht="15.75" customHeight="1" x14ac:dyDescent="0.3">
      <c r="D781" s="170"/>
    </row>
    <row r="782" spans="4:4" ht="15.75" customHeight="1" x14ac:dyDescent="0.3">
      <c r="D782" s="170"/>
    </row>
    <row r="783" spans="4:4" ht="15.75" customHeight="1" x14ac:dyDescent="0.3">
      <c r="D783" s="170"/>
    </row>
    <row r="784" spans="4:4" ht="15.75" customHeight="1" x14ac:dyDescent="0.3">
      <c r="D784" s="170"/>
    </row>
    <row r="785" spans="4:4" ht="15.75" customHeight="1" x14ac:dyDescent="0.3">
      <c r="D785" s="170"/>
    </row>
    <row r="786" spans="4:4" ht="15.75" customHeight="1" x14ac:dyDescent="0.3">
      <c r="D786" s="170"/>
    </row>
    <row r="787" spans="4:4" ht="15.75" customHeight="1" x14ac:dyDescent="0.3">
      <c r="D787" s="170"/>
    </row>
    <row r="788" spans="4:4" ht="15.75" customHeight="1" x14ac:dyDescent="0.3">
      <c r="D788" s="170"/>
    </row>
    <row r="789" spans="4:4" ht="15.75" customHeight="1" x14ac:dyDescent="0.3">
      <c r="D789" s="170"/>
    </row>
    <row r="790" spans="4:4" ht="15.75" customHeight="1" x14ac:dyDescent="0.3">
      <c r="D790" s="170"/>
    </row>
    <row r="791" spans="4:4" ht="15.75" customHeight="1" x14ac:dyDescent="0.3">
      <c r="D791" s="170"/>
    </row>
    <row r="792" spans="4:4" ht="15.75" customHeight="1" x14ac:dyDescent="0.3">
      <c r="D792" s="170"/>
    </row>
    <row r="793" spans="4:4" ht="15.75" customHeight="1" x14ac:dyDescent="0.3">
      <c r="D793" s="170"/>
    </row>
    <row r="794" spans="4:4" ht="15.75" customHeight="1" x14ac:dyDescent="0.3">
      <c r="D794" s="170"/>
    </row>
    <row r="795" spans="4:4" ht="15.75" customHeight="1" x14ac:dyDescent="0.3">
      <c r="D795" s="170"/>
    </row>
    <row r="796" spans="4:4" ht="15.75" customHeight="1" x14ac:dyDescent="0.3">
      <c r="D796" s="170"/>
    </row>
    <row r="797" spans="4:4" ht="15.75" customHeight="1" x14ac:dyDescent="0.3">
      <c r="D797" s="170"/>
    </row>
    <row r="798" spans="4:4" ht="15.75" customHeight="1" x14ac:dyDescent="0.3">
      <c r="D798" s="170"/>
    </row>
    <row r="799" spans="4:4" ht="15.75" customHeight="1" x14ac:dyDescent="0.3">
      <c r="D799" s="170"/>
    </row>
    <row r="800" spans="4:4" ht="15.75" customHeight="1" x14ac:dyDescent="0.3">
      <c r="D800" s="170"/>
    </row>
    <row r="801" spans="4:4" ht="15.75" customHeight="1" x14ac:dyDescent="0.3">
      <c r="D801" s="170"/>
    </row>
    <row r="802" spans="4:4" ht="15.75" customHeight="1" x14ac:dyDescent="0.3">
      <c r="D802" s="170"/>
    </row>
    <row r="803" spans="4:4" ht="15.75" customHeight="1" x14ac:dyDescent="0.3">
      <c r="D803" s="170"/>
    </row>
    <row r="804" spans="4:4" ht="15.75" customHeight="1" x14ac:dyDescent="0.3">
      <c r="D804" s="170"/>
    </row>
    <row r="805" spans="4:4" ht="15.75" customHeight="1" x14ac:dyDescent="0.3">
      <c r="D805" s="170"/>
    </row>
    <row r="806" spans="4:4" ht="15.75" customHeight="1" x14ac:dyDescent="0.3">
      <c r="D806" s="170"/>
    </row>
    <row r="807" spans="4:4" ht="15.75" customHeight="1" x14ac:dyDescent="0.3">
      <c r="D807" s="170"/>
    </row>
    <row r="808" spans="4:4" ht="15.75" customHeight="1" x14ac:dyDescent="0.3">
      <c r="D808" s="170"/>
    </row>
    <row r="809" spans="4:4" ht="15.75" customHeight="1" x14ac:dyDescent="0.3">
      <c r="D809" s="170"/>
    </row>
    <row r="810" spans="4:4" ht="15.75" customHeight="1" x14ac:dyDescent="0.3">
      <c r="D810" s="170"/>
    </row>
    <row r="811" spans="4:4" ht="15.75" customHeight="1" x14ac:dyDescent="0.3">
      <c r="D811" s="170"/>
    </row>
    <row r="812" spans="4:4" ht="15.75" customHeight="1" x14ac:dyDescent="0.3">
      <c r="D812" s="170"/>
    </row>
    <row r="813" spans="4:4" ht="15.75" customHeight="1" x14ac:dyDescent="0.3">
      <c r="D813" s="170"/>
    </row>
    <row r="814" spans="4:4" ht="15.75" customHeight="1" x14ac:dyDescent="0.3">
      <c r="D814" s="170"/>
    </row>
    <row r="815" spans="4:4" ht="15.75" customHeight="1" x14ac:dyDescent="0.3">
      <c r="D815" s="170"/>
    </row>
    <row r="816" spans="4:4" ht="15.75" customHeight="1" x14ac:dyDescent="0.3">
      <c r="D816" s="170"/>
    </row>
    <row r="817" spans="4:4" ht="15.75" customHeight="1" x14ac:dyDescent="0.3">
      <c r="D817" s="170"/>
    </row>
    <row r="818" spans="4:4" ht="15.75" customHeight="1" x14ac:dyDescent="0.3">
      <c r="D818" s="170"/>
    </row>
    <row r="819" spans="4:4" ht="15.75" customHeight="1" x14ac:dyDescent="0.3">
      <c r="D819" s="170"/>
    </row>
    <row r="820" spans="4:4" ht="15.75" customHeight="1" x14ac:dyDescent="0.3">
      <c r="D820" s="170"/>
    </row>
    <row r="821" spans="4:4" ht="15.75" customHeight="1" x14ac:dyDescent="0.3">
      <c r="D821" s="170"/>
    </row>
    <row r="822" spans="4:4" ht="15.75" customHeight="1" x14ac:dyDescent="0.3">
      <c r="D822" s="170"/>
    </row>
    <row r="823" spans="4:4" ht="15.75" customHeight="1" x14ac:dyDescent="0.3">
      <c r="D823" s="170"/>
    </row>
    <row r="824" spans="4:4" ht="15.75" customHeight="1" x14ac:dyDescent="0.3">
      <c r="D824" s="170"/>
    </row>
    <row r="825" spans="4:4" ht="15.75" customHeight="1" x14ac:dyDescent="0.3">
      <c r="D825" s="170"/>
    </row>
    <row r="826" spans="4:4" ht="15.75" customHeight="1" x14ac:dyDescent="0.3">
      <c r="D826" s="170"/>
    </row>
    <row r="827" spans="4:4" ht="15.75" customHeight="1" x14ac:dyDescent="0.3">
      <c r="D827" s="170"/>
    </row>
    <row r="828" spans="4:4" ht="15.75" customHeight="1" x14ac:dyDescent="0.3">
      <c r="D828" s="170"/>
    </row>
    <row r="829" spans="4:4" ht="15.75" customHeight="1" x14ac:dyDescent="0.3">
      <c r="D829" s="170"/>
    </row>
    <row r="830" spans="4:4" ht="15.75" customHeight="1" x14ac:dyDescent="0.3">
      <c r="D830" s="170"/>
    </row>
    <row r="831" spans="4:4" ht="15.75" customHeight="1" x14ac:dyDescent="0.3">
      <c r="D831" s="170"/>
    </row>
    <row r="832" spans="4:4" ht="15.75" customHeight="1" x14ac:dyDescent="0.3">
      <c r="D832" s="170"/>
    </row>
    <row r="833" spans="4:4" ht="15.75" customHeight="1" x14ac:dyDescent="0.3">
      <c r="D833" s="170"/>
    </row>
    <row r="834" spans="4:4" ht="15.75" customHeight="1" x14ac:dyDescent="0.3">
      <c r="D834" s="170"/>
    </row>
    <row r="835" spans="4:4" ht="15.75" customHeight="1" x14ac:dyDescent="0.3">
      <c r="D835" s="170"/>
    </row>
    <row r="836" spans="4:4" ht="15.75" customHeight="1" x14ac:dyDescent="0.3">
      <c r="D836" s="170"/>
    </row>
    <row r="837" spans="4:4" ht="15.75" customHeight="1" x14ac:dyDescent="0.3">
      <c r="D837" s="170"/>
    </row>
    <row r="838" spans="4:4" ht="15.75" customHeight="1" x14ac:dyDescent="0.3">
      <c r="D838" s="170"/>
    </row>
    <row r="839" spans="4:4" ht="15.75" customHeight="1" x14ac:dyDescent="0.3">
      <c r="D839" s="170"/>
    </row>
    <row r="840" spans="4:4" ht="15.75" customHeight="1" x14ac:dyDescent="0.3">
      <c r="D840" s="170"/>
    </row>
    <row r="841" spans="4:4" ht="15.75" customHeight="1" x14ac:dyDescent="0.3">
      <c r="D841" s="170"/>
    </row>
    <row r="842" spans="4:4" ht="15.75" customHeight="1" x14ac:dyDescent="0.3">
      <c r="D842" s="170"/>
    </row>
    <row r="843" spans="4:4" ht="15.75" customHeight="1" x14ac:dyDescent="0.3">
      <c r="D843" s="170"/>
    </row>
    <row r="844" spans="4:4" ht="15.75" customHeight="1" x14ac:dyDescent="0.3">
      <c r="D844" s="170"/>
    </row>
    <row r="845" spans="4:4" ht="15.75" customHeight="1" x14ac:dyDescent="0.3">
      <c r="D845" s="170"/>
    </row>
    <row r="846" spans="4:4" ht="15.75" customHeight="1" x14ac:dyDescent="0.3">
      <c r="D846" s="170"/>
    </row>
    <row r="847" spans="4:4" ht="15.75" customHeight="1" x14ac:dyDescent="0.3">
      <c r="D847" s="170"/>
    </row>
    <row r="848" spans="4:4" ht="15.75" customHeight="1" x14ac:dyDescent="0.3">
      <c r="D848" s="170"/>
    </row>
    <row r="849" spans="4:4" ht="15.75" customHeight="1" x14ac:dyDescent="0.3">
      <c r="D849" s="170"/>
    </row>
    <row r="850" spans="4:4" ht="15.75" customHeight="1" x14ac:dyDescent="0.3">
      <c r="D850" s="170"/>
    </row>
    <row r="851" spans="4:4" ht="15.75" customHeight="1" x14ac:dyDescent="0.3">
      <c r="D851" s="170"/>
    </row>
    <row r="852" spans="4:4" ht="15.75" customHeight="1" x14ac:dyDescent="0.3">
      <c r="D852" s="170"/>
    </row>
    <row r="853" spans="4:4" ht="15.75" customHeight="1" x14ac:dyDescent="0.3">
      <c r="D853" s="170"/>
    </row>
    <row r="854" spans="4:4" ht="15.75" customHeight="1" x14ac:dyDescent="0.3">
      <c r="D854" s="170"/>
    </row>
    <row r="855" spans="4:4" ht="15.75" customHeight="1" x14ac:dyDescent="0.3">
      <c r="D855" s="170"/>
    </row>
    <row r="856" spans="4:4" ht="15.75" customHeight="1" x14ac:dyDescent="0.3">
      <c r="D856" s="170"/>
    </row>
    <row r="857" spans="4:4" ht="15.75" customHeight="1" x14ac:dyDescent="0.3">
      <c r="D857" s="170"/>
    </row>
    <row r="858" spans="4:4" ht="15.75" customHeight="1" x14ac:dyDescent="0.3">
      <c r="D858" s="170"/>
    </row>
    <row r="859" spans="4:4" ht="15.75" customHeight="1" x14ac:dyDescent="0.3">
      <c r="D859" s="170"/>
    </row>
    <row r="860" spans="4:4" ht="15.75" customHeight="1" x14ac:dyDescent="0.3">
      <c r="D860" s="170"/>
    </row>
    <row r="861" spans="4:4" ht="15.75" customHeight="1" x14ac:dyDescent="0.3">
      <c r="D861" s="170"/>
    </row>
    <row r="862" spans="4:4" ht="15.75" customHeight="1" x14ac:dyDescent="0.3">
      <c r="D862" s="170"/>
    </row>
    <row r="863" spans="4:4" ht="15.75" customHeight="1" x14ac:dyDescent="0.3">
      <c r="D863" s="170"/>
    </row>
    <row r="864" spans="4:4" ht="15.75" customHeight="1" x14ac:dyDescent="0.3">
      <c r="D864" s="170"/>
    </row>
    <row r="865" spans="4:4" ht="15.75" customHeight="1" x14ac:dyDescent="0.3">
      <c r="D865" s="170"/>
    </row>
    <row r="866" spans="4:4" ht="15.75" customHeight="1" x14ac:dyDescent="0.3">
      <c r="D866" s="170"/>
    </row>
    <row r="867" spans="4:4" ht="15.75" customHeight="1" x14ac:dyDescent="0.3">
      <c r="D867" s="170"/>
    </row>
    <row r="868" spans="4:4" ht="15.75" customHeight="1" x14ac:dyDescent="0.3">
      <c r="D868" s="170"/>
    </row>
    <row r="869" spans="4:4" ht="15.75" customHeight="1" x14ac:dyDescent="0.3">
      <c r="D869" s="170"/>
    </row>
    <row r="870" spans="4:4" ht="15.75" customHeight="1" x14ac:dyDescent="0.3">
      <c r="D870" s="170"/>
    </row>
    <row r="871" spans="4:4" ht="15.75" customHeight="1" x14ac:dyDescent="0.3">
      <c r="D871" s="170"/>
    </row>
    <row r="872" spans="4:4" ht="15.75" customHeight="1" x14ac:dyDescent="0.3">
      <c r="D872" s="170"/>
    </row>
    <row r="873" spans="4:4" ht="15.75" customHeight="1" x14ac:dyDescent="0.3">
      <c r="D873" s="170"/>
    </row>
    <row r="874" spans="4:4" ht="15.75" customHeight="1" x14ac:dyDescent="0.3">
      <c r="D874" s="170"/>
    </row>
    <row r="875" spans="4:4" ht="15.75" customHeight="1" x14ac:dyDescent="0.3">
      <c r="D875" s="170"/>
    </row>
    <row r="876" spans="4:4" ht="15.75" customHeight="1" x14ac:dyDescent="0.3">
      <c r="D876" s="170"/>
    </row>
    <row r="877" spans="4:4" ht="15.75" customHeight="1" x14ac:dyDescent="0.3">
      <c r="D877" s="170"/>
    </row>
    <row r="878" spans="4:4" ht="15.75" customHeight="1" x14ac:dyDescent="0.3">
      <c r="D878" s="170"/>
    </row>
    <row r="879" spans="4:4" ht="15.75" customHeight="1" x14ac:dyDescent="0.3">
      <c r="D879" s="170"/>
    </row>
    <row r="880" spans="4:4" ht="15.75" customHeight="1" x14ac:dyDescent="0.3">
      <c r="D880" s="170"/>
    </row>
    <row r="881" spans="4:4" ht="15.75" customHeight="1" x14ac:dyDescent="0.3">
      <c r="D881" s="170"/>
    </row>
    <row r="882" spans="4:4" ht="15.75" customHeight="1" x14ac:dyDescent="0.3">
      <c r="D882" s="170"/>
    </row>
    <row r="883" spans="4:4" ht="15.75" customHeight="1" x14ac:dyDescent="0.3">
      <c r="D883" s="170"/>
    </row>
    <row r="884" spans="4:4" ht="15.75" customHeight="1" x14ac:dyDescent="0.3">
      <c r="D884" s="170"/>
    </row>
    <row r="885" spans="4:4" ht="15.75" customHeight="1" x14ac:dyDescent="0.3">
      <c r="D885" s="170"/>
    </row>
    <row r="886" spans="4:4" ht="15.75" customHeight="1" x14ac:dyDescent="0.3">
      <c r="D886" s="170"/>
    </row>
    <row r="887" spans="4:4" ht="15.75" customHeight="1" x14ac:dyDescent="0.3">
      <c r="D887" s="170"/>
    </row>
    <row r="888" spans="4:4" ht="15.75" customHeight="1" x14ac:dyDescent="0.3">
      <c r="D888" s="170"/>
    </row>
    <row r="889" spans="4:4" ht="15.75" customHeight="1" x14ac:dyDescent="0.3">
      <c r="D889" s="170"/>
    </row>
    <row r="890" spans="4:4" ht="15.75" customHeight="1" x14ac:dyDescent="0.3">
      <c r="D890" s="170"/>
    </row>
    <row r="891" spans="4:4" ht="15.75" customHeight="1" x14ac:dyDescent="0.3">
      <c r="D891" s="170"/>
    </row>
    <row r="892" spans="4:4" ht="15.75" customHeight="1" x14ac:dyDescent="0.3">
      <c r="D892" s="170"/>
    </row>
    <row r="893" spans="4:4" ht="15.75" customHeight="1" x14ac:dyDescent="0.3">
      <c r="D893" s="170"/>
    </row>
    <row r="894" spans="4:4" ht="15.75" customHeight="1" x14ac:dyDescent="0.3">
      <c r="D894" s="170"/>
    </row>
    <row r="895" spans="4:4" ht="15.75" customHeight="1" x14ac:dyDescent="0.3">
      <c r="D895" s="170"/>
    </row>
    <row r="896" spans="4:4" ht="15.75" customHeight="1" x14ac:dyDescent="0.3">
      <c r="D896" s="170"/>
    </row>
    <row r="897" spans="4:4" ht="15.75" customHeight="1" x14ac:dyDescent="0.3">
      <c r="D897" s="170"/>
    </row>
    <row r="898" spans="4:4" ht="15.75" customHeight="1" x14ac:dyDescent="0.3">
      <c r="D898" s="170"/>
    </row>
    <row r="899" spans="4:4" ht="15.75" customHeight="1" x14ac:dyDescent="0.3">
      <c r="D899" s="170"/>
    </row>
    <row r="900" spans="4:4" ht="15.75" customHeight="1" x14ac:dyDescent="0.3">
      <c r="D900" s="170"/>
    </row>
    <row r="901" spans="4:4" ht="15.75" customHeight="1" x14ac:dyDescent="0.3">
      <c r="D901" s="170"/>
    </row>
    <row r="902" spans="4:4" ht="15.75" customHeight="1" x14ac:dyDescent="0.3">
      <c r="D902" s="170"/>
    </row>
    <row r="903" spans="4:4" ht="15.75" customHeight="1" x14ac:dyDescent="0.3">
      <c r="D903" s="170"/>
    </row>
    <row r="904" spans="4:4" ht="15.75" customHeight="1" x14ac:dyDescent="0.3">
      <c r="D904" s="170"/>
    </row>
    <row r="905" spans="4:4" ht="15.75" customHeight="1" x14ac:dyDescent="0.3">
      <c r="D905" s="170"/>
    </row>
    <row r="906" spans="4:4" ht="15.75" customHeight="1" x14ac:dyDescent="0.3">
      <c r="D906" s="170"/>
    </row>
    <row r="907" spans="4:4" ht="15.75" customHeight="1" x14ac:dyDescent="0.3">
      <c r="D907" s="170"/>
    </row>
    <row r="908" spans="4:4" ht="15.75" customHeight="1" x14ac:dyDescent="0.3">
      <c r="D908" s="170"/>
    </row>
    <row r="909" spans="4:4" ht="15.75" customHeight="1" x14ac:dyDescent="0.3">
      <c r="D909" s="170"/>
    </row>
    <row r="910" spans="4:4" ht="15.75" customHeight="1" x14ac:dyDescent="0.3">
      <c r="D910" s="170"/>
    </row>
    <row r="911" spans="4:4" ht="15.75" customHeight="1" x14ac:dyDescent="0.3">
      <c r="D911" s="170"/>
    </row>
    <row r="912" spans="4:4" ht="15.75" customHeight="1" x14ac:dyDescent="0.3">
      <c r="D912" s="170"/>
    </row>
    <row r="913" spans="4:4" ht="15.75" customHeight="1" x14ac:dyDescent="0.3">
      <c r="D913" s="170"/>
    </row>
    <row r="914" spans="4:4" ht="15.75" customHeight="1" x14ac:dyDescent="0.3">
      <c r="D914" s="170"/>
    </row>
    <row r="915" spans="4:4" ht="15.75" customHeight="1" x14ac:dyDescent="0.3">
      <c r="D915" s="170"/>
    </row>
    <row r="916" spans="4:4" ht="15.75" customHeight="1" x14ac:dyDescent="0.3">
      <c r="D916" s="170"/>
    </row>
    <row r="917" spans="4:4" ht="15.75" customHeight="1" x14ac:dyDescent="0.3">
      <c r="D917" s="170"/>
    </row>
    <row r="918" spans="4:4" ht="15.75" customHeight="1" x14ac:dyDescent="0.3">
      <c r="D918" s="170"/>
    </row>
    <row r="919" spans="4:4" ht="15.75" customHeight="1" x14ac:dyDescent="0.3">
      <c r="D919" s="170"/>
    </row>
    <row r="920" spans="4:4" ht="15.75" customHeight="1" x14ac:dyDescent="0.3">
      <c r="D920" s="170"/>
    </row>
    <row r="921" spans="4:4" ht="15.75" customHeight="1" x14ac:dyDescent="0.3">
      <c r="D921" s="170"/>
    </row>
    <row r="922" spans="4:4" ht="15.75" customHeight="1" x14ac:dyDescent="0.3">
      <c r="D922" s="170"/>
    </row>
    <row r="923" spans="4:4" ht="15.75" customHeight="1" x14ac:dyDescent="0.3">
      <c r="D923" s="170"/>
    </row>
    <row r="924" spans="4:4" ht="15.75" customHeight="1" x14ac:dyDescent="0.3">
      <c r="D924" s="170"/>
    </row>
    <row r="925" spans="4:4" ht="15.75" customHeight="1" x14ac:dyDescent="0.3">
      <c r="D925" s="170"/>
    </row>
    <row r="926" spans="4:4" ht="15.75" customHeight="1" x14ac:dyDescent="0.3">
      <c r="D926" s="170"/>
    </row>
    <row r="927" spans="4:4" ht="15.75" customHeight="1" x14ac:dyDescent="0.3">
      <c r="D927" s="170"/>
    </row>
    <row r="928" spans="4:4" ht="15.75" customHeight="1" x14ac:dyDescent="0.3">
      <c r="D928" s="170"/>
    </row>
    <row r="929" spans="4:4" ht="15.75" customHeight="1" x14ac:dyDescent="0.3">
      <c r="D929" s="170"/>
    </row>
    <row r="930" spans="4:4" ht="15.75" customHeight="1" x14ac:dyDescent="0.3">
      <c r="D930" s="170"/>
    </row>
    <row r="931" spans="4:4" ht="15.75" customHeight="1" x14ac:dyDescent="0.3">
      <c r="D931" s="170"/>
    </row>
    <row r="932" spans="4:4" ht="15.75" customHeight="1" x14ac:dyDescent="0.3">
      <c r="D932" s="170"/>
    </row>
    <row r="933" spans="4:4" ht="15.75" customHeight="1" x14ac:dyDescent="0.3">
      <c r="D933" s="170"/>
    </row>
    <row r="934" spans="4:4" ht="15.75" customHeight="1" x14ac:dyDescent="0.3">
      <c r="D934" s="170"/>
    </row>
    <row r="935" spans="4:4" ht="15.75" customHeight="1" x14ac:dyDescent="0.3">
      <c r="D935" s="170"/>
    </row>
    <row r="936" spans="4:4" ht="15.75" customHeight="1" x14ac:dyDescent="0.3">
      <c r="D936" s="170"/>
    </row>
    <row r="937" spans="4:4" ht="15.75" customHeight="1" x14ac:dyDescent="0.3">
      <c r="D937" s="170"/>
    </row>
    <row r="938" spans="4:4" ht="15.75" customHeight="1" x14ac:dyDescent="0.3">
      <c r="D938" s="170"/>
    </row>
    <row r="939" spans="4:4" ht="15.75" customHeight="1" x14ac:dyDescent="0.3">
      <c r="D939" s="170"/>
    </row>
    <row r="940" spans="4:4" ht="15.75" customHeight="1" x14ac:dyDescent="0.3">
      <c r="D940" s="170"/>
    </row>
    <row r="941" spans="4:4" ht="15.75" customHeight="1" x14ac:dyDescent="0.3">
      <c r="D941" s="170"/>
    </row>
    <row r="942" spans="4:4" ht="15.75" customHeight="1" x14ac:dyDescent="0.3">
      <c r="D942" s="170"/>
    </row>
    <row r="943" spans="4:4" ht="15.75" customHeight="1" x14ac:dyDescent="0.3">
      <c r="D943" s="170"/>
    </row>
    <row r="944" spans="4:4" ht="15.75" customHeight="1" x14ac:dyDescent="0.3">
      <c r="D944" s="170"/>
    </row>
    <row r="945" spans="4:4" ht="15.75" customHeight="1" x14ac:dyDescent="0.3">
      <c r="D945" s="170"/>
    </row>
    <row r="946" spans="4:4" ht="15.75" customHeight="1" x14ac:dyDescent="0.3">
      <c r="D946" s="170"/>
    </row>
    <row r="947" spans="4:4" ht="15.75" customHeight="1" x14ac:dyDescent="0.3">
      <c r="D947" s="170"/>
    </row>
    <row r="948" spans="4:4" ht="15.75" customHeight="1" x14ac:dyDescent="0.3">
      <c r="D948" s="170"/>
    </row>
    <row r="949" spans="4:4" ht="15.75" customHeight="1" x14ac:dyDescent="0.3">
      <c r="D949" s="170"/>
    </row>
    <row r="950" spans="4:4" ht="15.75" customHeight="1" x14ac:dyDescent="0.3">
      <c r="D950" s="170"/>
    </row>
    <row r="951" spans="4:4" ht="15.75" customHeight="1" x14ac:dyDescent="0.3">
      <c r="D951" s="170"/>
    </row>
    <row r="952" spans="4:4" ht="15.75" customHeight="1" x14ac:dyDescent="0.3">
      <c r="D952" s="170"/>
    </row>
    <row r="953" spans="4:4" ht="15.75" customHeight="1" x14ac:dyDescent="0.3">
      <c r="D953" s="170"/>
    </row>
    <row r="954" spans="4:4" ht="15.75" customHeight="1" x14ac:dyDescent="0.3">
      <c r="D954" s="170"/>
    </row>
    <row r="955" spans="4:4" ht="15.75" customHeight="1" x14ac:dyDescent="0.3">
      <c r="D955" s="170"/>
    </row>
    <row r="956" spans="4:4" ht="15.75" customHeight="1" x14ac:dyDescent="0.3">
      <c r="D956" s="170"/>
    </row>
    <row r="957" spans="4:4" ht="15.75" customHeight="1" x14ac:dyDescent="0.3">
      <c r="D957" s="170"/>
    </row>
    <row r="958" spans="4:4" ht="15.75" customHeight="1" x14ac:dyDescent="0.3">
      <c r="D958" s="170"/>
    </row>
    <row r="959" spans="4:4" ht="15.75" customHeight="1" x14ac:dyDescent="0.3">
      <c r="D959" s="170"/>
    </row>
    <row r="960" spans="4:4" ht="15.75" customHeight="1" x14ac:dyDescent="0.3">
      <c r="D960" s="170"/>
    </row>
    <row r="961" spans="4:4" ht="15.75" customHeight="1" x14ac:dyDescent="0.3">
      <c r="D961" s="170"/>
    </row>
    <row r="962" spans="4:4" ht="15.75" customHeight="1" x14ac:dyDescent="0.3">
      <c r="D962" s="170"/>
    </row>
    <row r="963" spans="4:4" ht="15.75" customHeight="1" x14ac:dyDescent="0.3">
      <c r="D963" s="170"/>
    </row>
    <row r="964" spans="4:4" ht="15.75" customHeight="1" x14ac:dyDescent="0.3">
      <c r="D964" s="170"/>
    </row>
    <row r="965" spans="4:4" ht="15.75" customHeight="1" x14ac:dyDescent="0.3">
      <c r="D965" s="170"/>
    </row>
    <row r="966" spans="4:4" ht="15.75" customHeight="1" x14ac:dyDescent="0.3">
      <c r="D966" s="170"/>
    </row>
    <row r="967" spans="4:4" ht="15.75" customHeight="1" x14ac:dyDescent="0.3">
      <c r="D967" s="170"/>
    </row>
    <row r="968" spans="4:4" ht="15.75" customHeight="1" x14ac:dyDescent="0.3">
      <c r="D968" s="170"/>
    </row>
    <row r="969" spans="4:4" ht="15.75" customHeight="1" x14ac:dyDescent="0.3">
      <c r="D969" s="170"/>
    </row>
    <row r="970" spans="4:4" ht="15.75" customHeight="1" x14ac:dyDescent="0.3">
      <c r="D970" s="170"/>
    </row>
    <row r="971" spans="4:4" ht="15.75" customHeight="1" x14ac:dyDescent="0.3">
      <c r="D971" s="170"/>
    </row>
    <row r="972" spans="4:4" ht="15.75" customHeight="1" x14ac:dyDescent="0.3">
      <c r="D972" s="170"/>
    </row>
    <row r="973" spans="4:4" ht="15.75" customHeight="1" x14ac:dyDescent="0.3">
      <c r="D973" s="170"/>
    </row>
    <row r="974" spans="4:4" ht="15.75" customHeight="1" x14ac:dyDescent="0.3">
      <c r="D974" s="170"/>
    </row>
    <row r="975" spans="4:4" ht="15.75" customHeight="1" x14ac:dyDescent="0.3">
      <c r="D975" s="170"/>
    </row>
    <row r="976" spans="4:4" ht="15.75" customHeight="1" x14ac:dyDescent="0.3">
      <c r="D976" s="170"/>
    </row>
    <row r="977" spans="4:4" ht="15.75" customHeight="1" x14ac:dyDescent="0.3">
      <c r="D977" s="170"/>
    </row>
    <row r="978" spans="4:4" ht="15.75" customHeight="1" x14ac:dyDescent="0.3">
      <c r="D978" s="170"/>
    </row>
    <row r="979" spans="4:4" ht="15.75" customHeight="1" x14ac:dyDescent="0.3">
      <c r="D979" s="170"/>
    </row>
    <row r="980" spans="4:4" ht="15.75" customHeight="1" x14ac:dyDescent="0.3">
      <c r="D980" s="170"/>
    </row>
  </sheetData>
  <mergeCells count="48">
    <mergeCell ref="B43:I43"/>
    <mergeCell ref="F44:I44"/>
    <mergeCell ref="F45:I45"/>
    <mergeCell ref="B50:I50"/>
    <mergeCell ref="B51:I51"/>
    <mergeCell ref="D52:I52"/>
    <mergeCell ref="B36:I36"/>
    <mergeCell ref="B37:F37"/>
    <mergeCell ref="A38:F38"/>
    <mergeCell ref="A40:F40"/>
    <mergeCell ref="B41:I41"/>
    <mergeCell ref="B42:I42"/>
    <mergeCell ref="B30:D30"/>
    <mergeCell ref="B31:D31"/>
    <mergeCell ref="B32:D32"/>
    <mergeCell ref="B33:D33"/>
    <mergeCell ref="B34:D34"/>
    <mergeCell ref="A35:F35"/>
    <mergeCell ref="B24:D24"/>
    <mergeCell ref="B25:D25"/>
    <mergeCell ref="B26:D26"/>
    <mergeCell ref="B27:D27"/>
    <mergeCell ref="B28:D28"/>
    <mergeCell ref="B29:D29"/>
    <mergeCell ref="B18:D18"/>
    <mergeCell ref="B19:D19"/>
    <mergeCell ref="B20:D20"/>
    <mergeCell ref="B21:D21"/>
    <mergeCell ref="B22:D22"/>
    <mergeCell ref="B23:D23"/>
    <mergeCell ref="B12:I12"/>
    <mergeCell ref="B13:I13"/>
    <mergeCell ref="B14:D14"/>
    <mergeCell ref="B15:D15"/>
    <mergeCell ref="B16:D16"/>
    <mergeCell ref="B17:D17"/>
    <mergeCell ref="B6:I6"/>
    <mergeCell ref="B7:I7"/>
    <mergeCell ref="B8:I8"/>
    <mergeCell ref="B9:I9"/>
    <mergeCell ref="B10:I10"/>
    <mergeCell ref="B11:I11"/>
    <mergeCell ref="H1:I1"/>
    <mergeCell ref="A2:B3"/>
    <mergeCell ref="F2:I2"/>
    <mergeCell ref="F3:I3"/>
    <mergeCell ref="A4:I4"/>
    <mergeCell ref="A5:I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266"/>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4.33203125" defaultRowHeight="15" customHeight="1" x14ac:dyDescent="0.3"/>
  <cols>
    <col min="1" max="1" width="4.88671875" customWidth="1"/>
    <col min="2" max="2" width="58.109375" customWidth="1"/>
    <col min="3" max="3" width="16.109375" customWidth="1"/>
    <col min="4" max="4" width="10.109375" customWidth="1"/>
    <col min="5" max="6" width="23.109375" customWidth="1"/>
    <col min="7" max="7" width="14.88671875" customWidth="1"/>
    <col min="8" max="8" width="10.33203125" customWidth="1"/>
    <col min="9" max="17" width="11.77734375" customWidth="1"/>
  </cols>
  <sheetData>
    <row r="1" spans="1:17" ht="71.25" customHeight="1" x14ac:dyDescent="0.3">
      <c r="A1" s="206" t="s">
        <v>195</v>
      </c>
      <c r="B1" s="194"/>
      <c r="C1" s="194"/>
      <c r="D1" s="194"/>
      <c r="E1" s="194"/>
      <c r="F1" s="194"/>
      <c r="G1" s="194"/>
      <c r="H1" s="194"/>
      <c r="I1" s="11"/>
      <c r="J1" s="11"/>
      <c r="K1" s="11"/>
      <c r="L1" s="11"/>
      <c r="M1" s="11"/>
      <c r="N1" s="11"/>
      <c r="O1" s="11"/>
      <c r="P1" s="11"/>
      <c r="Q1" s="11"/>
    </row>
    <row r="2" spans="1:17" ht="60" customHeight="1" x14ac:dyDescent="0.3">
      <c r="A2" s="12" t="s">
        <v>1</v>
      </c>
      <c r="B2" s="13" t="s">
        <v>2</v>
      </c>
      <c r="C2" s="14" t="s">
        <v>6</v>
      </c>
      <c r="D2" s="13" t="s">
        <v>7</v>
      </c>
      <c r="E2" s="16" t="s">
        <v>25</v>
      </c>
      <c r="F2" s="16" t="s">
        <v>26</v>
      </c>
      <c r="G2" s="16" t="s">
        <v>27</v>
      </c>
      <c r="H2" s="16" t="s">
        <v>196</v>
      </c>
      <c r="I2" s="11"/>
      <c r="J2" s="11"/>
      <c r="K2" s="11"/>
      <c r="L2" s="11"/>
      <c r="M2" s="11"/>
      <c r="N2" s="11"/>
      <c r="O2" s="11"/>
      <c r="P2" s="11"/>
      <c r="Q2" s="11"/>
    </row>
    <row r="3" spans="1:17" ht="187.2" x14ac:dyDescent="0.3">
      <c r="A3" s="17">
        <v>1</v>
      </c>
      <c r="B3" s="17">
        <v>2</v>
      </c>
      <c r="C3" s="17" t="s">
        <v>197</v>
      </c>
      <c r="D3" s="17" t="s">
        <v>198</v>
      </c>
      <c r="E3" s="17" t="s">
        <v>199</v>
      </c>
      <c r="F3" s="17" t="s">
        <v>200</v>
      </c>
      <c r="G3" s="17" t="s">
        <v>201</v>
      </c>
      <c r="H3" s="17" t="s">
        <v>202</v>
      </c>
      <c r="I3" s="18"/>
      <c r="J3" s="18"/>
      <c r="K3" s="18"/>
      <c r="L3" s="18"/>
      <c r="M3" s="18"/>
      <c r="N3" s="18"/>
      <c r="O3" s="18"/>
      <c r="P3" s="18"/>
      <c r="Q3" s="18"/>
    </row>
    <row r="4" spans="1:17" ht="20.25" customHeight="1" x14ac:dyDescent="0.3">
      <c r="A4" s="12" t="s">
        <v>10</v>
      </c>
      <c r="B4" s="19" t="s">
        <v>11</v>
      </c>
      <c r="C4" s="19"/>
      <c r="D4" s="19"/>
      <c r="E4" s="19"/>
      <c r="F4" s="19"/>
      <c r="G4" s="19"/>
      <c r="H4" s="19"/>
      <c r="I4" s="11"/>
      <c r="J4" s="11"/>
      <c r="K4" s="11"/>
      <c r="L4" s="11"/>
      <c r="M4" s="11"/>
      <c r="N4" s="11"/>
      <c r="O4" s="11"/>
      <c r="P4" s="11"/>
      <c r="Q4" s="11"/>
    </row>
    <row r="5" spans="1:17" ht="84" x14ac:dyDescent="0.3">
      <c r="A5" s="3">
        <v>2</v>
      </c>
      <c r="B5" s="4" t="s">
        <v>203</v>
      </c>
      <c r="C5" s="3" t="e">
        <f>#REF!</f>
        <v>#REF!</v>
      </c>
      <c r="D5" s="6" t="e">
        <f>#REF!</f>
        <v>#REF!</v>
      </c>
      <c r="E5" s="21">
        <v>1</v>
      </c>
      <c r="F5" s="21">
        <v>1</v>
      </c>
      <c r="G5" s="22" t="e">
        <f>C5*(30%*E5+70%*F5)</f>
        <v>#REF!</v>
      </c>
      <c r="H5" s="22" t="e">
        <f>D5*G5</f>
        <v>#REF!</v>
      </c>
      <c r="I5" s="11"/>
      <c r="J5" s="11"/>
      <c r="K5" s="11"/>
      <c r="L5" s="11"/>
      <c r="M5" s="11"/>
      <c r="N5" s="11"/>
      <c r="O5" s="11"/>
      <c r="P5" s="11"/>
      <c r="Q5" s="11"/>
    </row>
    <row r="6" spans="1:17" ht="16.8" x14ac:dyDescent="0.3">
      <c r="A6" s="3"/>
      <c r="B6" s="23" t="s">
        <v>37</v>
      </c>
      <c r="C6" s="24" t="e">
        <f>SUM(C5)</f>
        <v>#REF!</v>
      </c>
      <c r="D6" s="25"/>
      <c r="E6" s="26"/>
      <c r="F6" s="202" t="s">
        <v>38</v>
      </c>
      <c r="G6" s="200"/>
      <c r="H6" s="24" t="e">
        <f>MIN(SUM(H5),C6)</f>
        <v>#REF!</v>
      </c>
      <c r="I6" s="11"/>
      <c r="J6" s="11"/>
      <c r="K6" s="11"/>
      <c r="L6" s="11"/>
      <c r="M6" s="11"/>
      <c r="N6" s="11"/>
      <c r="O6" s="11"/>
      <c r="P6" s="11"/>
      <c r="Q6" s="11"/>
    </row>
    <row r="7" spans="1:17" ht="38.25" customHeight="1" x14ac:dyDescent="0.3">
      <c r="A7" s="3"/>
      <c r="B7" s="27" t="s">
        <v>204</v>
      </c>
      <c r="C7" s="28" t="e">
        <f>H6/C6</f>
        <v>#REF!</v>
      </c>
      <c r="D7" s="198" t="s">
        <v>40</v>
      </c>
      <c r="E7" s="199"/>
      <c r="F7" s="199"/>
      <c r="G7" s="199"/>
      <c r="H7" s="200"/>
      <c r="I7" s="11"/>
      <c r="J7" s="11"/>
      <c r="K7" s="11"/>
      <c r="L7" s="11"/>
      <c r="M7" s="11"/>
      <c r="N7" s="11"/>
      <c r="O7" s="11"/>
      <c r="P7" s="11"/>
      <c r="Q7" s="11"/>
    </row>
    <row r="8" spans="1:17" ht="24" customHeight="1" x14ac:dyDescent="0.3">
      <c r="A8" s="2" t="s">
        <v>12</v>
      </c>
      <c r="B8" s="29" t="s">
        <v>13</v>
      </c>
      <c r="C8" s="30"/>
      <c r="D8" s="30"/>
      <c r="E8" s="30"/>
      <c r="F8" s="30"/>
      <c r="G8" s="30"/>
      <c r="H8" s="30"/>
      <c r="I8" s="11"/>
      <c r="J8" s="11"/>
      <c r="K8" s="11"/>
      <c r="L8" s="11"/>
      <c r="M8" s="11"/>
      <c r="N8" s="11"/>
      <c r="O8" s="11"/>
      <c r="P8" s="11"/>
      <c r="Q8" s="11"/>
    </row>
    <row r="9" spans="1:17" ht="16.8" x14ac:dyDescent="0.3">
      <c r="A9" s="3"/>
      <c r="B9" s="87"/>
      <c r="C9" s="3"/>
      <c r="D9" s="5"/>
      <c r="E9" s="3"/>
      <c r="F9" s="31"/>
      <c r="G9" s="31"/>
      <c r="H9" s="31"/>
      <c r="I9" s="11"/>
      <c r="J9" s="11"/>
      <c r="K9" s="11"/>
      <c r="L9" s="11"/>
      <c r="M9" s="11"/>
      <c r="N9" s="11"/>
      <c r="O9" s="11"/>
      <c r="P9" s="11"/>
      <c r="Q9" s="11"/>
    </row>
    <row r="10" spans="1:17" ht="16.8" x14ac:dyDescent="0.3">
      <c r="A10" s="3"/>
      <c r="B10" s="23" t="s">
        <v>41</v>
      </c>
      <c r="C10" s="9">
        <f>SUM(C9)</f>
        <v>0</v>
      </c>
      <c r="D10" s="6"/>
      <c r="E10" s="21"/>
      <c r="F10" s="202" t="s">
        <v>42</v>
      </c>
      <c r="G10" s="200"/>
      <c r="H10" s="9">
        <f>MIN(SUM(H9),C10)</f>
        <v>0</v>
      </c>
      <c r="I10" s="11"/>
      <c r="J10" s="11"/>
      <c r="K10" s="11"/>
      <c r="L10" s="11"/>
      <c r="M10" s="11"/>
      <c r="N10" s="11"/>
      <c r="O10" s="11"/>
      <c r="P10" s="11"/>
      <c r="Q10" s="11"/>
    </row>
    <row r="11" spans="1:17" ht="38.25" customHeight="1" x14ac:dyDescent="0.3">
      <c r="A11" s="3"/>
      <c r="B11" s="27" t="s">
        <v>205</v>
      </c>
      <c r="C11" s="28">
        <f>IF(C9=0,1,H9/C9)</f>
        <v>1</v>
      </c>
      <c r="D11" s="198" t="s">
        <v>44</v>
      </c>
      <c r="E11" s="199"/>
      <c r="F11" s="199"/>
      <c r="G11" s="199"/>
      <c r="H11" s="200"/>
      <c r="I11" s="11"/>
      <c r="J11" s="11"/>
      <c r="K11" s="11"/>
      <c r="L11" s="11"/>
      <c r="M11" s="11"/>
      <c r="N11" s="11"/>
      <c r="O11" s="11"/>
      <c r="P11" s="11"/>
      <c r="Q11" s="11"/>
    </row>
    <row r="12" spans="1:17" ht="16.8" x14ac:dyDescent="0.3">
      <c r="A12" s="3"/>
      <c r="B12" s="4"/>
      <c r="C12" s="3"/>
      <c r="D12" s="5"/>
      <c r="E12" s="3"/>
      <c r="F12" s="31"/>
      <c r="G12" s="31"/>
      <c r="H12" s="31"/>
      <c r="I12" s="11"/>
      <c r="J12" s="11"/>
      <c r="K12" s="11"/>
      <c r="L12" s="11"/>
      <c r="M12" s="11"/>
      <c r="N12" s="11"/>
      <c r="O12" s="11"/>
      <c r="P12" s="11"/>
      <c r="Q12" s="11"/>
    </row>
    <row r="13" spans="1:17" ht="26.25" customHeight="1" x14ac:dyDescent="0.3">
      <c r="A13" s="2" t="s">
        <v>14</v>
      </c>
      <c r="B13" s="29" t="s">
        <v>15</v>
      </c>
      <c r="C13" s="30"/>
      <c r="D13" s="30"/>
      <c r="E13" s="30"/>
      <c r="F13" s="30"/>
      <c r="G13" s="30"/>
      <c r="H13" s="30"/>
      <c r="I13" s="11"/>
      <c r="J13" s="11"/>
      <c r="K13" s="11"/>
      <c r="L13" s="11"/>
      <c r="M13" s="11"/>
      <c r="N13" s="11"/>
      <c r="O13" s="11"/>
      <c r="P13" s="11"/>
      <c r="Q13" s="11"/>
    </row>
    <row r="14" spans="1:17" ht="100.8" x14ac:dyDescent="0.3">
      <c r="A14" s="3">
        <v>8</v>
      </c>
      <c r="B14" s="87" t="s">
        <v>206</v>
      </c>
      <c r="C14" s="3" t="e">
        <f>#REF!</f>
        <v>#REF!</v>
      </c>
      <c r="D14" s="21" t="e">
        <f>#REF!</f>
        <v>#REF!</v>
      </c>
      <c r="E14" s="21">
        <v>1</v>
      </c>
      <c r="F14" s="21">
        <v>0.8</v>
      </c>
      <c r="G14" s="22" t="e">
        <f>C14*(30%*E14+70%*F14)</f>
        <v>#REF!</v>
      </c>
      <c r="H14" s="22" t="e">
        <f>D14*G14</f>
        <v>#REF!</v>
      </c>
      <c r="I14" s="11"/>
      <c r="J14" s="11"/>
      <c r="K14" s="11"/>
      <c r="L14" s="11"/>
      <c r="M14" s="11"/>
      <c r="N14" s="11"/>
      <c r="O14" s="11"/>
      <c r="P14" s="11"/>
      <c r="Q14" s="11"/>
    </row>
    <row r="15" spans="1:17" ht="16.8" x14ac:dyDescent="0.3">
      <c r="A15" s="3"/>
      <c r="B15" s="23" t="s">
        <v>46</v>
      </c>
      <c r="C15" s="9" t="e">
        <f>SUM(C14)</f>
        <v>#REF!</v>
      </c>
      <c r="D15" s="6"/>
      <c r="E15" s="21"/>
      <c r="F15" s="202" t="s">
        <v>47</v>
      </c>
      <c r="G15" s="200"/>
      <c r="H15" s="9" t="e">
        <f>MIN(SUM(H14),C15)</f>
        <v>#REF!</v>
      </c>
      <c r="I15" s="11"/>
      <c r="J15" s="11"/>
      <c r="K15" s="11"/>
      <c r="L15" s="11"/>
      <c r="M15" s="11"/>
      <c r="N15" s="11"/>
      <c r="O15" s="11"/>
      <c r="P15" s="11"/>
      <c r="Q15" s="11"/>
    </row>
    <row r="16" spans="1:17" ht="38.25" customHeight="1" x14ac:dyDescent="0.3">
      <c r="A16" s="3"/>
      <c r="B16" s="27" t="s">
        <v>207</v>
      </c>
      <c r="C16" s="28" t="e">
        <f>IF(C14=0,1,H14/C14)</f>
        <v>#REF!</v>
      </c>
      <c r="D16" s="198" t="s">
        <v>49</v>
      </c>
      <c r="E16" s="199"/>
      <c r="F16" s="199"/>
      <c r="G16" s="199"/>
      <c r="H16" s="200"/>
      <c r="I16" s="11"/>
      <c r="J16" s="11"/>
      <c r="K16" s="11"/>
      <c r="L16" s="11"/>
      <c r="M16" s="11"/>
      <c r="N16" s="11"/>
      <c r="O16" s="11"/>
      <c r="P16" s="11"/>
      <c r="Q16" s="11"/>
    </row>
    <row r="17" spans="1:17" ht="35.25" customHeight="1" x14ac:dyDescent="0.3">
      <c r="A17" s="2" t="s">
        <v>16</v>
      </c>
      <c r="B17" s="201" t="s">
        <v>50</v>
      </c>
      <c r="C17" s="199"/>
      <c r="D17" s="199"/>
      <c r="E17" s="199"/>
      <c r="F17" s="199"/>
      <c r="G17" s="199"/>
      <c r="H17" s="200"/>
      <c r="I17" s="11"/>
      <c r="J17" s="11"/>
      <c r="K17" s="11"/>
      <c r="L17" s="11"/>
      <c r="M17" s="11"/>
      <c r="N17" s="11"/>
      <c r="O17" s="11"/>
      <c r="P17" s="11"/>
      <c r="Q17" s="11"/>
    </row>
    <row r="18" spans="1:17" ht="67.2" x14ac:dyDescent="0.3">
      <c r="A18" s="3">
        <v>2</v>
      </c>
      <c r="B18" s="88" t="s">
        <v>208</v>
      </c>
      <c r="C18" s="31" t="e">
        <f>#REF!</f>
        <v>#REF!</v>
      </c>
      <c r="D18" s="21" t="e">
        <f>#REF!</f>
        <v>#REF!</v>
      </c>
      <c r="E18" s="21">
        <v>0</v>
      </c>
      <c r="F18" s="21">
        <v>0.8</v>
      </c>
      <c r="G18" s="22" t="e">
        <f t="shared" ref="G18:G30" si="0">C18*(30%*E18+70%*F18)</f>
        <v>#REF!</v>
      </c>
      <c r="H18" s="22" t="e">
        <f t="shared" ref="H18:H50" si="1">D18*G18</f>
        <v>#REF!</v>
      </c>
      <c r="I18" s="11"/>
      <c r="J18" s="11"/>
      <c r="K18" s="11"/>
      <c r="L18" s="11"/>
      <c r="M18" s="11"/>
      <c r="N18" s="11"/>
      <c r="O18" s="11"/>
      <c r="P18" s="11"/>
      <c r="Q18" s="11"/>
    </row>
    <row r="19" spans="1:17" ht="84" x14ac:dyDescent="0.3">
      <c r="A19" s="3">
        <v>7</v>
      </c>
      <c r="B19" s="4" t="s">
        <v>209</v>
      </c>
      <c r="C19" s="31" t="e">
        <f>#REF!</f>
        <v>#REF!</v>
      </c>
      <c r="D19" s="21" t="e">
        <f>#REF!</f>
        <v>#REF!</v>
      </c>
      <c r="E19" s="21">
        <v>0</v>
      </c>
      <c r="F19" s="21">
        <v>1</v>
      </c>
      <c r="G19" s="22" t="e">
        <f t="shared" si="0"/>
        <v>#REF!</v>
      </c>
      <c r="H19" s="22" t="e">
        <f t="shared" si="1"/>
        <v>#REF!</v>
      </c>
      <c r="I19" s="11"/>
      <c r="J19" s="11"/>
      <c r="K19" s="11"/>
      <c r="L19" s="11"/>
      <c r="M19" s="11"/>
      <c r="N19" s="11"/>
      <c r="O19" s="11"/>
      <c r="P19" s="11"/>
      <c r="Q19" s="11"/>
    </row>
    <row r="20" spans="1:17" ht="134.4" x14ac:dyDescent="0.3">
      <c r="A20" s="3">
        <v>13</v>
      </c>
      <c r="B20" s="87" t="s">
        <v>210</v>
      </c>
      <c r="C20" s="31" t="e">
        <f>#REF!</f>
        <v>#REF!</v>
      </c>
      <c r="D20" s="21" t="e">
        <f>#REF!</f>
        <v>#REF!</v>
      </c>
      <c r="E20" s="21">
        <v>1</v>
      </c>
      <c r="F20" s="21">
        <v>1</v>
      </c>
      <c r="G20" s="22" t="e">
        <f t="shared" si="0"/>
        <v>#REF!</v>
      </c>
      <c r="H20" s="22" t="e">
        <f t="shared" si="1"/>
        <v>#REF!</v>
      </c>
      <c r="I20" s="11"/>
      <c r="J20" s="11"/>
      <c r="K20" s="11"/>
      <c r="L20" s="11"/>
      <c r="M20" s="11"/>
      <c r="N20" s="11"/>
      <c r="O20" s="11"/>
      <c r="P20" s="11"/>
      <c r="Q20" s="11"/>
    </row>
    <row r="21" spans="1:17" ht="15.75" customHeight="1" x14ac:dyDescent="0.3">
      <c r="A21" s="3">
        <v>14</v>
      </c>
      <c r="B21" s="4" t="s">
        <v>211</v>
      </c>
      <c r="C21" s="31" t="e">
        <f>#REF!</f>
        <v>#REF!</v>
      </c>
      <c r="D21" s="21" t="e">
        <f>#REF!</f>
        <v>#REF!</v>
      </c>
      <c r="E21" s="21">
        <v>1</v>
      </c>
      <c r="F21" s="21">
        <v>1</v>
      </c>
      <c r="G21" s="22" t="e">
        <f t="shared" si="0"/>
        <v>#REF!</v>
      </c>
      <c r="H21" s="22" t="e">
        <f t="shared" si="1"/>
        <v>#REF!</v>
      </c>
      <c r="I21" s="11"/>
      <c r="J21" s="11"/>
      <c r="K21" s="11"/>
      <c r="L21" s="11"/>
      <c r="M21" s="11"/>
      <c r="N21" s="11"/>
      <c r="O21" s="11"/>
      <c r="P21" s="11"/>
      <c r="Q21" s="11"/>
    </row>
    <row r="22" spans="1:17" ht="15.75" customHeight="1" x14ac:dyDescent="0.3">
      <c r="A22" s="3">
        <v>16</v>
      </c>
      <c r="B22" s="4" t="s">
        <v>212</v>
      </c>
      <c r="C22" s="31" t="e">
        <f>#REF!</f>
        <v>#REF!</v>
      </c>
      <c r="D22" s="21" t="e">
        <f>#REF!</f>
        <v>#REF!</v>
      </c>
      <c r="E22" s="21">
        <v>0.6</v>
      </c>
      <c r="F22" s="21">
        <v>1</v>
      </c>
      <c r="G22" s="22" t="e">
        <f t="shared" si="0"/>
        <v>#REF!</v>
      </c>
      <c r="H22" s="22" t="e">
        <f t="shared" si="1"/>
        <v>#REF!</v>
      </c>
      <c r="I22" s="11"/>
      <c r="J22" s="11"/>
      <c r="K22" s="11"/>
      <c r="L22" s="11"/>
      <c r="M22" s="11"/>
      <c r="N22" s="11"/>
      <c r="O22" s="11"/>
      <c r="P22" s="11"/>
      <c r="Q22" s="11"/>
    </row>
    <row r="23" spans="1:17" ht="15.75" customHeight="1" x14ac:dyDescent="0.3">
      <c r="A23" s="3">
        <v>17</v>
      </c>
      <c r="B23" s="4" t="s">
        <v>213</v>
      </c>
      <c r="C23" s="31" t="e">
        <f>#REF!</f>
        <v>#REF!</v>
      </c>
      <c r="D23" s="21" t="e">
        <f>#REF!</f>
        <v>#REF!</v>
      </c>
      <c r="E23" s="21">
        <v>1</v>
      </c>
      <c r="F23" s="21">
        <v>1</v>
      </c>
      <c r="G23" s="22" t="e">
        <f t="shared" si="0"/>
        <v>#REF!</v>
      </c>
      <c r="H23" s="22" t="e">
        <f t="shared" si="1"/>
        <v>#REF!</v>
      </c>
      <c r="I23" s="11"/>
      <c r="J23" s="11"/>
      <c r="K23" s="11"/>
      <c r="L23" s="11"/>
      <c r="M23" s="11"/>
      <c r="N23" s="11"/>
      <c r="O23" s="11"/>
      <c r="P23" s="11"/>
      <c r="Q23" s="11"/>
    </row>
    <row r="24" spans="1:17" ht="15.75" customHeight="1" x14ac:dyDescent="0.3">
      <c r="A24" s="3">
        <v>23</v>
      </c>
      <c r="B24" s="4" t="s">
        <v>214</v>
      </c>
      <c r="C24" s="31" t="e">
        <f>#REF!</f>
        <v>#REF!</v>
      </c>
      <c r="D24" s="21" t="e">
        <f>#REF!</f>
        <v>#REF!</v>
      </c>
      <c r="E24" s="21">
        <v>1</v>
      </c>
      <c r="F24" s="21">
        <v>1</v>
      </c>
      <c r="G24" s="22" t="e">
        <f t="shared" si="0"/>
        <v>#REF!</v>
      </c>
      <c r="H24" s="22" t="e">
        <f t="shared" si="1"/>
        <v>#REF!</v>
      </c>
      <c r="I24" s="11"/>
      <c r="J24" s="11"/>
      <c r="K24" s="11"/>
      <c r="L24" s="11"/>
      <c r="M24" s="11"/>
      <c r="N24" s="11"/>
      <c r="O24" s="11"/>
      <c r="P24" s="11"/>
      <c r="Q24" s="11"/>
    </row>
    <row r="25" spans="1:17" ht="15.75" customHeight="1" x14ac:dyDescent="0.3">
      <c r="A25" s="3">
        <v>39</v>
      </c>
      <c r="B25" s="87" t="s">
        <v>215</v>
      </c>
      <c r="C25" s="31" t="e">
        <f>#REF!</f>
        <v>#REF!</v>
      </c>
      <c r="D25" s="21" t="e">
        <f>#REF!</f>
        <v>#REF!</v>
      </c>
      <c r="E25" s="21">
        <v>1</v>
      </c>
      <c r="F25" s="21">
        <v>0.8</v>
      </c>
      <c r="G25" s="22" t="e">
        <f t="shared" si="0"/>
        <v>#REF!</v>
      </c>
      <c r="H25" s="22" t="e">
        <f t="shared" si="1"/>
        <v>#REF!</v>
      </c>
      <c r="I25" s="11"/>
      <c r="J25" s="11"/>
      <c r="K25" s="11"/>
      <c r="L25" s="11"/>
      <c r="M25" s="11"/>
      <c r="N25" s="11"/>
      <c r="O25" s="11"/>
      <c r="P25" s="11"/>
      <c r="Q25" s="11"/>
    </row>
    <row r="26" spans="1:17" ht="15.75" customHeight="1" x14ac:dyDescent="0.3">
      <c r="A26" s="3">
        <v>40</v>
      </c>
      <c r="B26" s="4" t="s">
        <v>216</v>
      </c>
      <c r="C26" s="31" t="e">
        <f>#REF!</f>
        <v>#REF!</v>
      </c>
      <c r="D26" s="21" t="e">
        <f>#REF!</f>
        <v>#REF!</v>
      </c>
      <c r="E26" s="21">
        <v>1</v>
      </c>
      <c r="F26" s="21">
        <v>1</v>
      </c>
      <c r="G26" s="22" t="e">
        <f t="shared" si="0"/>
        <v>#REF!</v>
      </c>
      <c r="H26" s="22" t="e">
        <f t="shared" si="1"/>
        <v>#REF!</v>
      </c>
      <c r="I26" s="11"/>
      <c r="J26" s="11"/>
      <c r="K26" s="11"/>
      <c r="L26" s="11"/>
      <c r="M26" s="11"/>
      <c r="N26" s="11"/>
      <c r="O26" s="11"/>
      <c r="P26" s="11"/>
      <c r="Q26" s="11"/>
    </row>
    <row r="27" spans="1:17" ht="15.75" customHeight="1" x14ac:dyDescent="0.3">
      <c r="A27" s="3">
        <v>53</v>
      </c>
      <c r="B27" s="4" t="s">
        <v>60</v>
      </c>
      <c r="C27" s="31" t="e">
        <f>#REF!</f>
        <v>#REF!</v>
      </c>
      <c r="D27" s="21" t="e">
        <f>#REF!</f>
        <v>#REF!</v>
      </c>
      <c r="E27" s="21">
        <v>0.8</v>
      </c>
      <c r="F27" s="21">
        <v>1</v>
      </c>
      <c r="G27" s="22" t="e">
        <f t="shared" si="0"/>
        <v>#REF!</v>
      </c>
      <c r="H27" s="22" t="e">
        <f t="shared" si="1"/>
        <v>#REF!</v>
      </c>
      <c r="I27" s="11"/>
      <c r="J27" s="11"/>
      <c r="K27" s="11"/>
      <c r="L27" s="11"/>
      <c r="M27" s="11"/>
      <c r="N27" s="11"/>
      <c r="O27" s="11"/>
      <c r="P27" s="11"/>
      <c r="Q27" s="11"/>
    </row>
    <row r="28" spans="1:17" ht="15.75" customHeight="1" x14ac:dyDescent="0.3">
      <c r="A28" s="3">
        <v>56</v>
      </c>
      <c r="B28" s="4" t="s">
        <v>217</v>
      </c>
      <c r="C28" s="31" t="e">
        <f>#REF!</f>
        <v>#REF!</v>
      </c>
      <c r="D28" s="21" t="e">
        <f>#REF!</f>
        <v>#REF!</v>
      </c>
      <c r="E28" s="21">
        <v>1</v>
      </c>
      <c r="F28" s="21">
        <v>1</v>
      </c>
      <c r="G28" s="22" t="e">
        <f t="shared" si="0"/>
        <v>#REF!</v>
      </c>
      <c r="H28" s="22" t="e">
        <f t="shared" si="1"/>
        <v>#REF!</v>
      </c>
      <c r="I28" s="11"/>
      <c r="J28" s="11"/>
      <c r="K28" s="11"/>
      <c r="L28" s="11"/>
      <c r="M28" s="11"/>
      <c r="N28" s="11"/>
      <c r="O28" s="11"/>
      <c r="P28" s="11"/>
      <c r="Q28" s="11"/>
    </row>
    <row r="29" spans="1:17" ht="15.75" customHeight="1" x14ac:dyDescent="0.3">
      <c r="A29" s="3">
        <v>61</v>
      </c>
      <c r="B29" s="4" t="s">
        <v>218</v>
      </c>
      <c r="C29" s="31" t="e">
        <f>#REF!</f>
        <v>#REF!</v>
      </c>
      <c r="D29" s="21" t="e">
        <f>#REF!</f>
        <v>#REF!</v>
      </c>
      <c r="E29" s="21">
        <v>1</v>
      </c>
      <c r="F29" s="21">
        <v>1</v>
      </c>
      <c r="G29" s="22" t="e">
        <f t="shared" si="0"/>
        <v>#REF!</v>
      </c>
      <c r="H29" s="22" t="e">
        <f t="shared" si="1"/>
        <v>#REF!</v>
      </c>
      <c r="I29" s="11"/>
      <c r="J29" s="11"/>
      <c r="K29" s="11"/>
      <c r="L29" s="11"/>
      <c r="M29" s="11"/>
      <c r="N29" s="11"/>
      <c r="O29" s="11"/>
      <c r="P29" s="11"/>
      <c r="Q29" s="11"/>
    </row>
    <row r="30" spans="1:17" ht="15.75" customHeight="1" x14ac:dyDescent="0.3">
      <c r="A30" s="3">
        <v>66</v>
      </c>
      <c r="B30" s="4" t="s">
        <v>219</v>
      </c>
      <c r="C30" s="31" t="e">
        <f>#REF!</f>
        <v>#REF!</v>
      </c>
      <c r="D30" s="21" t="e">
        <f>#REF!</f>
        <v>#REF!</v>
      </c>
      <c r="E30" s="21">
        <v>0</v>
      </c>
      <c r="F30" s="21">
        <v>1</v>
      </c>
      <c r="G30" s="22" t="e">
        <f t="shared" si="0"/>
        <v>#REF!</v>
      </c>
      <c r="H30" s="22" t="e">
        <f t="shared" si="1"/>
        <v>#REF!</v>
      </c>
      <c r="I30" s="11"/>
      <c r="J30" s="11"/>
      <c r="K30" s="11"/>
      <c r="L30" s="11"/>
      <c r="M30" s="11"/>
      <c r="N30" s="11"/>
      <c r="O30" s="11"/>
      <c r="P30" s="11"/>
      <c r="Q30" s="11"/>
    </row>
    <row r="31" spans="1:17" ht="15.75" customHeight="1" x14ac:dyDescent="0.3">
      <c r="A31" s="3">
        <v>68</v>
      </c>
      <c r="B31" s="4" t="s">
        <v>220</v>
      </c>
      <c r="C31" s="31" t="e">
        <f>#REF!</f>
        <v>#REF!</v>
      </c>
      <c r="D31" s="21" t="e">
        <f>#REF!</f>
        <v>#REF!</v>
      </c>
      <c r="E31" s="31" t="s">
        <v>65</v>
      </c>
      <c r="F31" s="21">
        <v>1</v>
      </c>
      <c r="G31" s="32">
        <v>1</v>
      </c>
      <c r="H31" s="32" t="e">
        <f t="shared" si="1"/>
        <v>#REF!</v>
      </c>
      <c r="I31" s="11"/>
      <c r="J31" s="11"/>
      <c r="K31" s="11"/>
      <c r="L31" s="11"/>
      <c r="M31" s="11"/>
      <c r="N31" s="11"/>
      <c r="O31" s="11"/>
      <c r="P31" s="11"/>
      <c r="Q31" s="11"/>
    </row>
    <row r="32" spans="1:17" ht="15.75" customHeight="1" x14ac:dyDescent="0.3">
      <c r="A32" s="3">
        <v>78</v>
      </c>
      <c r="B32" s="4" t="s">
        <v>66</v>
      </c>
      <c r="C32" s="31" t="e">
        <f>#REF!</f>
        <v>#REF!</v>
      </c>
      <c r="D32" s="21" t="e">
        <f>#REF!</f>
        <v>#REF!</v>
      </c>
      <c r="E32" s="21">
        <v>1</v>
      </c>
      <c r="F32" s="21">
        <v>0.8</v>
      </c>
      <c r="G32" s="22" t="e">
        <f t="shared" ref="G32:G50" si="2">C32*(30%*E32+70%*F32)</f>
        <v>#REF!</v>
      </c>
      <c r="H32" s="22" t="e">
        <f t="shared" si="1"/>
        <v>#REF!</v>
      </c>
      <c r="I32" s="11"/>
      <c r="J32" s="11"/>
      <c r="K32" s="11"/>
      <c r="L32" s="11"/>
      <c r="M32" s="11"/>
      <c r="N32" s="11"/>
      <c r="O32" s="11"/>
      <c r="P32" s="11"/>
      <c r="Q32" s="11"/>
    </row>
    <row r="33" spans="1:17" ht="15.75" customHeight="1" x14ac:dyDescent="0.3">
      <c r="A33" s="3">
        <v>86</v>
      </c>
      <c r="B33" s="87" t="s">
        <v>221</v>
      </c>
      <c r="C33" s="31" t="e">
        <f>#REF!</f>
        <v>#REF!</v>
      </c>
      <c r="D33" s="21" t="e">
        <f>#REF!</f>
        <v>#REF!</v>
      </c>
      <c r="E33" s="21">
        <v>1</v>
      </c>
      <c r="F33" s="21">
        <v>1</v>
      </c>
      <c r="G33" s="22" t="e">
        <f t="shared" si="2"/>
        <v>#REF!</v>
      </c>
      <c r="H33" s="22" t="e">
        <f t="shared" si="1"/>
        <v>#REF!</v>
      </c>
      <c r="I33" s="11"/>
      <c r="J33" s="11"/>
      <c r="K33" s="11"/>
      <c r="L33" s="11"/>
      <c r="M33" s="11"/>
      <c r="N33" s="11"/>
      <c r="O33" s="11"/>
      <c r="P33" s="11"/>
      <c r="Q33" s="11"/>
    </row>
    <row r="34" spans="1:17" ht="15.75" customHeight="1" x14ac:dyDescent="0.3">
      <c r="A34" s="3">
        <v>88</v>
      </c>
      <c r="B34" s="4" t="s">
        <v>222</v>
      </c>
      <c r="C34" s="31" t="e">
        <f>#REF!</f>
        <v>#REF!</v>
      </c>
      <c r="D34" s="21" t="e">
        <f>#REF!</f>
        <v>#REF!</v>
      </c>
      <c r="E34" s="21">
        <v>1</v>
      </c>
      <c r="F34" s="21">
        <v>1</v>
      </c>
      <c r="G34" s="22" t="e">
        <f t="shared" si="2"/>
        <v>#REF!</v>
      </c>
      <c r="H34" s="22" t="e">
        <f t="shared" si="1"/>
        <v>#REF!</v>
      </c>
      <c r="I34" s="11"/>
      <c r="J34" s="11"/>
      <c r="K34" s="11"/>
      <c r="L34" s="11"/>
      <c r="M34" s="11"/>
      <c r="N34" s="11"/>
      <c r="O34" s="11"/>
      <c r="P34" s="11"/>
      <c r="Q34" s="11"/>
    </row>
    <row r="35" spans="1:17" ht="15.75" customHeight="1" x14ac:dyDescent="0.3">
      <c r="A35" s="3">
        <v>94</v>
      </c>
      <c r="B35" s="87" t="s">
        <v>223</v>
      </c>
      <c r="C35" s="31" t="e">
        <f>#REF!</f>
        <v>#REF!</v>
      </c>
      <c r="D35" s="21" t="e">
        <f>#REF!</f>
        <v>#REF!</v>
      </c>
      <c r="E35" s="21">
        <v>1</v>
      </c>
      <c r="F35" s="21">
        <v>1</v>
      </c>
      <c r="G35" s="22" t="e">
        <f t="shared" si="2"/>
        <v>#REF!</v>
      </c>
      <c r="H35" s="22" t="e">
        <f t="shared" si="1"/>
        <v>#REF!</v>
      </c>
      <c r="I35" s="11"/>
      <c r="J35" s="11"/>
      <c r="K35" s="11"/>
      <c r="L35" s="11"/>
      <c r="M35" s="11"/>
      <c r="N35" s="11"/>
      <c r="O35" s="11"/>
      <c r="P35" s="11"/>
      <c r="Q35" s="11"/>
    </row>
    <row r="36" spans="1:17" ht="15.75" customHeight="1" x14ac:dyDescent="0.3">
      <c r="A36" s="3">
        <v>95</v>
      </c>
      <c r="B36" s="87" t="s">
        <v>224</v>
      </c>
      <c r="C36" s="31" t="e">
        <f>#REF!</f>
        <v>#REF!</v>
      </c>
      <c r="D36" s="21" t="e">
        <f>#REF!</f>
        <v>#REF!</v>
      </c>
      <c r="E36" s="21">
        <v>0.6</v>
      </c>
      <c r="F36" s="21">
        <v>1</v>
      </c>
      <c r="G36" s="22" t="e">
        <f t="shared" si="2"/>
        <v>#REF!</v>
      </c>
      <c r="H36" s="22" t="e">
        <f t="shared" si="1"/>
        <v>#REF!</v>
      </c>
      <c r="I36" s="11"/>
      <c r="J36" s="11"/>
      <c r="K36" s="11"/>
      <c r="L36" s="11"/>
      <c r="M36" s="11"/>
      <c r="N36" s="11"/>
      <c r="O36" s="11"/>
      <c r="P36" s="11"/>
      <c r="Q36" s="11"/>
    </row>
    <row r="37" spans="1:17" ht="15.75" customHeight="1" x14ac:dyDescent="0.3">
      <c r="A37" s="3">
        <v>105</v>
      </c>
      <c r="B37" s="87" t="s">
        <v>225</v>
      </c>
      <c r="C37" s="31" t="e">
        <f>#REF!</f>
        <v>#REF!</v>
      </c>
      <c r="D37" s="21" t="e">
        <f>#REF!</f>
        <v>#REF!</v>
      </c>
      <c r="E37" s="21">
        <v>1</v>
      </c>
      <c r="F37" s="21">
        <v>1</v>
      </c>
      <c r="G37" s="22" t="e">
        <f t="shared" si="2"/>
        <v>#REF!</v>
      </c>
      <c r="H37" s="22" t="e">
        <f t="shared" si="1"/>
        <v>#REF!</v>
      </c>
      <c r="I37" s="11"/>
      <c r="J37" s="11"/>
      <c r="K37" s="11"/>
      <c r="L37" s="11"/>
      <c r="M37" s="11"/>
      <c r="N37" s="11"/>
      <c r="O37" s="11"/>
      <c r="P37" s="11"/>
      <c r="Q37" s="11"/>
    </row>
    <row r="38" spans="1:17" ht="15.75" customHeight="1" x14ac:dyDescent="0.3">
      <c r="A38" s="3">
        <v>108</v>
      </c>
      <c r="B38" s="4" t="s">
        <v>226</v>
      </c>
      <c r="C38" s="31" t="e">
        <f>#REF!</f>
        <v>#REF!</v>
      </c>
      <c r="D38" s="21" t="e">
        <f>#REF!</f>
        <v>#REF!</v>
      </c>
      <c r="E38" s="21">
        <v>0.8</v>
      </c>
      <c r="F38" s="21">
        <v>0.8</v>
      </c>
      <c r="G38" s="22" t="e">
        <f t="shared" si="2"/>
        <v>#REF!</v>
      </c>
      <c r="H38" s="22" t="e">
        <f t="shared" si="1"/>
        <v>#REF!</v>
      </c>
      <c r="I38" s="11"/>
      <c r="J38" s="11"/>
      <c r="K38" s="11"/>
      <c r="L38" s="11"/>
      <c r="M38" s="11"/>
      <c r="N38" s="11"/>
      <c r="O38" s="11"/>
      <c r="P38" s="11"/>
      <c r="Q38" s="11"/>
    </row>
    <row r="39" spans="1:17" ht="15.75" customHeight="1" x14ac:dyDescent="0.3">
      <c r="A39" s="3">
        <v>115</v>
      </c>
      <c r="B39" s="4" t="s">
        <v>227</v>
      </c>
      <c r="C39" s="31" t="e">
        <f>#REF!</f>
        <v>#REF!</v>
      </c>
      <c r="D39" s="21" t="e">
        <f>#REF!</f>
        <v>#REF!</v>
      </c>
      <c r="E39" s="21">
        <v>0.8</v>
      </c>
      <c r="F39" s="21">
        <v>1</v>
      </c>
      <c r="G39" s="22" t="e">
        <f t="shared" si="2"/>
        <v>#REF!</v>
      </c>
      <c r="H39" s="22" t="e">
        <f t="shared" si="1"/>
        <v>#REF!</v>
      </c>
      <c r="I39" s="11"/>
      <c r="J39" s="11"/>
      <c r="K39" s="11"/>
      <c r="L39" s="11"/>
      <c r="M39" s="11"/>
      <c r="N39" s="11"/>
      <c r="O39" s="11"/>
      <c r="P39" s="11"/>
      <c r="Q39" s="11"/>
    </row>
    <row r="40" spans="1:17" ht="15.75" customHeight="1" x14ac:dyDescent="0.3">
      <c r="A40" s="3">
        <v>131</v>
      </c>
      <c r="B40" s="4" t="s">
        <v>228</v>
      </c>
      <c r="C40" s="31" t="e">
        <f>#REF!</f>
        <v>#REF!</v>
      </c>
      <c r="D40" s="21" t="e">
        <f>#REF!</f>
        <v>#REF!</v>
      </c>
      <c r="E40" s="21">
        <v>1</v>
      </c>
      <c r="F40" s="21">
        <v>1</v>
      </c>
      <c r="G40" s="22" t="e">
        <f t="shared" si="2"/>
        <v>#REF!</v>
      </c>
      <c r="H40" s="22" t="e">
        <f t="shared" si="1"/>
        <v>#REF!</v>
      </c>
      <c r="I40" s="11"/>
      <c r="J40" s="11"/>
      <c r="K40" s="11"/>
      <c r="L40" s="11"/>
      <c r="M40" s="11"/>
      <c r="N40" s="11"/>
      <c r="O40" s="11"/>
      <c r="P40" s="11"/>
      <c r="Q40" s="11"/>
    </row>
    <row r="41" spans="1:17" ht="15.75" customHeight="1" x14ac:dyDescent="0.3">
      <c r="A41" s="3">
        <v>132</v>
      </c>
      <c r="B41" s="4" t="s">
        <v>229</v>
      </c>
      <c r="C41" s="31" t="e">
        <f>#REF!</f>
        <v>#REF!</v>
      </c>
      <c r="D41" s="21" t="e">
        <f>#REF!</f>
        <v>#REF!</v>
      </c>
      <c r="E41" s="21">
        <v>0.8</v>
      </c>
      <c r="F41" s="21">
        <v>1</v>
      </c>
      <c r="G41" s="22" t="e">
        <f t="shared" si="2"/>
        <v>#REF!</v>
      </c>
      <c r="H41" s="22" t="e">
        <f t="shared" si="1"/>
        <v>#REF!</v>
      </c>
      <c r="I41" s="11"/>
      <c r="J41" s="11"/>
      <c r="K41" s="11"/>
      <c r="L41" s="11"/>
      <c r="M41" s="11"/>
      <c r="N41" s="11"/>
      <c r="O41" s="11"/>
      <c r="P41" s="11"/>
      <c r="Q41" s="11"/>
    </row>
    <row r="42" spans="1:17" ht="15.75" customHeight="1" x14ac:dyDescent="0.3">
      <c r="A42" s="3">
        <v>147</v>
      </c>
      <c r="B42" s="4" t="s">
        <v>230</v>
      </c>
      <c r="C42" s="31" t="e">
        <f>#REF!</f>
        <v>#REF!</v>
      </c>
      <c r="D42" s="21" t="e">
        <f>#REF!</f>
        <v>#REF!</v>
      </c>
      <c r="E42" s="21">
        <v>1</v>
      </c>
      <c r="F42" s="21">
        <v>1</v>
      </c>
      <c r="G42" s="22" t="e">
        <f t="shared" si="2"/>
        <v>#REF!</v>
      </c>
      <c r="H42" s="22" t="e">
        <f t="shared" si="1"/>
        <v>#REF!</v>
      </c>
      <c r="I42" s="11"/>
      <c r="J42" s="11"/>
      <c r="K42" s="11"/>
      <c r="L42" s="11"/>
      <c r="M42" s="11"/>
      <c r="N42" s="11"/>
      <c r="O42" s="11"/>
      <c r="P42" s="11"/>
      <c r="Q42" s="11"/>
    </row>
    <row r="43" spans="1:17" ht="15.75" customHeight="1" x14ac:dyDescent="0.3">
      <c r="A43" s="3">
        <v>151</v>
      </c>
      <c r="B43" s="4" t="s">
        <v>231</v>
      </c>
      <c r="C43" s="31" t="e">
        <f>#REF!</f>
        <v>#REF!</v>
      </c>
      <c r="D43" s="21" t="e">
        <f>#REF!</f>
        <v>#REF!</v>
      </c>
      <c r="E43" s="21">
        <v>1</v>
      </c>
      <c r="F43" s="21">
        <v>10.01</v>
      </c>
      <c r="G43" s="22" t="e">
        <f t="shared" si="2"/>
        <v>#REF!</v>
      </c>
      <c r="H43" s="22" t="e">
        <f t="shared" si="1"/>
        <v>#REF!</v>
      </c>
      <c r="I43" s="11"/>
      <c r="J43" s="11"/>
      <c r="K43" s="11"/>
      <c r="L43" s="11"/>
      <c r="M43" s="11"/>
      <c r="N43" s="11"/>
      <c r="O43" s="11"/>
      <c r="P43" s="11"/>
      <c r="Q43" s="11"/>
    </row>
    <row r="44" spans="1:17" ht="15.75" customHeight="1" x14ac:dyDescent="0.3">
      <c r="A44" s="3">
        <v>152</v>
      </c>
      <c r="B44" s="4" t="s">
        <v>232</v>
      </c>
      <c r="C44" s="31" t="e">
        <f>#REF!</f>
        <v>#REF!</v>
      </c>
      <c r="D44" s="21" t="e">
        <f>#REF!</f>
        <v>#REF!</v>
      </c>
      <c r="E44" s="21">
        <v>1</v>
      </c>
      <c r="F44" s="21">
        <v>1</v>
      </c>
      <c r="G44" s="22" t="e">
        <f t="shared" si="2"/>
        <v>#REF!</v>
      </c>
      <c r="H44" s="22" t="e">
        <f t="shared" si="1"/>
        <v>#REF!</v>
      </c>
      <c r="I44" s="11"/>
      <c r="J44" s="11"/>
      <c r="K44" s="11"/>
      <c r="L44" s="11"/>
      <c r="M44" s="11"/>
      <c r="N44" s="11"/>
      <c r="O44" s="11"/>
      <c r="P44" s="11"/>
      <c r="Q44" s="11"/>
    </row>
    <row r="45" spans="1:17" ht="15.75" customHeight="1" x14ac:dyDescent="0.3">
      <c r="A45" s="3">
        <v>153</v>
      </c>
      <c r="B45" s="8" t="s">
        <v>233</v>
      </c>
      <c r="C45" s="31" t="e">
        <f>#REF!</f>
        <v>#REF!</v>
      </c>
      <c r="D45" s="21" t="e">
        <f>#REF!</f>
        <v>#REF!</v>
      </c>
      <c r="E45" s="21">
        <v>1</v>
      </c>
      <c r="F45" s="21">
        <v>1</v>
      </c>
      <c r="G45" s="22" t="e">
        <f t="shared" si="2"/>
        <v>#REF!</v>
      </c>
      <c r="H45" s="22" t="e">
        <f t="shared" si="1"/>
        <v>#REF!</v>
      </c>
      <c r="I45" s="11"/>
      <c r="J45" s="11"/>
      <c r="K45" s="11"/>
      <c r="L45" s="11"/>
      <c r="M45" s="11"/>
      <c r="N45" s="11"/>
      <c r="O45" s="11"/>
      <c r="P45" s="11"/>
      <c r="Q45" s="11"/>
    </row>
    <row r="46" spans="1:17" ht="15.75" customHeight="1" x14ac:dyDescent="0.3">
      <c r="A46" s="3">
        <v>156</v>
      </c>
      <c r="B46" s="4" t="s">
        <v>234</v>
      </c>
      <c r="C46" s="31" t="e">
        <f>#REF!</f>
        <v>#REF!</v>
      </c>
      <c r="D46" s="21" t="e">
        <f>#REF!</f>
        <v>#REF!</v>
      </c>
      <c r="E46" s="21">
        <v>1</v>
      </c>
      <c r="F46" s="21">
        <v>1</v>
      </c>
      <c r="G46" s="22" t="e">
        <f t="shared" si="2"/>
        <v>#REF!</v>
      </c>
      <c r="H46" s="22" t="e">
        <f t="shared" si="1"/>
        <v>#REF!</v>
      </c>
      <c r="I46" s="11"/>
      <c r="J46" s="11"/>
      <c r="K46" s="11"/>
      <c r="L46" s="11"/>
      <c r="M46" s="11"/>
      <c r="N46" s="11"/>
      <c r="O46" s="11"/>
      <c r="P46" s="11"/>
      <c r="Q46" s="11"/>
    </row>
    <row r="47" spans="1:17" ht="15.75" customHeight="1" x14ac:dyDescent="0.3">
      <c r="A47" s="3">
        <v>157</v>
      </c>
      <c r="B47" s="4" t="s">
        <v>235</v>
      </c>
      <c r="C47" s="31" t="e">
        <f>#REF!</f>
        <v>#REF!</v>
      </c>
      <c r="D47" s="21" t="e">
        <f>#REF!</f>
        <v>#REF!</v>
      </c>
      <c r="E47" s="21">
        <v>1</v>
      </c>
      <c r="F47" s="21">
        <v>1</v>
      </c>
      <c r="G47" s="22" t="e">
        <f t="shared" si="2"/>
        <v>#REF!</v>
      </c>
      <c r="H47" s="22" t="e">
        <f t="shared" si="1"/>
        <v>#REF!</v>
      </c>
      <c r="I47" s="11"/>
      <c r="J47" s="11"/>
      <c r="K47" s="11"/>
      <c r="L47" s="11"/>
      <c r="M47" s="11"/>
      <c r="N47" s="11"/>
      <c r="O47" s="11"/>
      <c r="P47" s="11"/>
      <c r="Q47" s="11"/>
    </row>
    <row r="48" spans="1:17" ht="15.75" customHeight="1" x14ac:dyDescent="0.3">
      <c r="A48" s="3">
        <v>158</v>
      </c>
      <c r="B48" s="4" t="s">
        <v>236</v>
      </c>
      <c r="C48" s="31" t="e">
        <f>#REF!</f>
        <v>#REF!</v>
      </c>
      <c r="D48" s="21" t="e">
        <f>#REF!</f>
        <v>#REF!</v>
      </c>
      <c r="E48" s="21">
        <v>1</v>
      </c>
      <c r="F48" s="21">
        <v>1</v>
      </c>
      <c r="G48" s="22" t="e">
        <f t="shared" si="2"/>
        <v>#REF!</v>
      </c>
      <c r="H48" s="22" t="e">
        <f t="shared" si="1"/>
        <v>#REF!</v>
      </c>
      <c r="I48" s="11"/>
      <c r="J48" s="11"/>
      <c r="K48" s="11"/>
      <c r="L48" s="11"/>
      <c r="M48" s="11"/>
      <c r="N48" s="11"/>
      <c r="O48" s="11"/>
      <c r="P48" s="11"/>
      <c r="Q48" s="11"/>
    </row>
    <row r="49" spans="1:17" ht="15.75" customHeight="1" x14ac:dyDescent="0.3">
      <c r="A49" s="3">
        <v>161</v>
      </c>
      <c r="B49" s="4" t="s">
        <v>237</v>
      </c>
      <c r="C49" s="31" t="e">
        <f>#REF!</f>
        <v>#REF!</v>
      </c>
      <c r="D49" s="21" t="e">
        <f>#REF!</f>
        <v>#REF!</v>
      </c>
      <c r="E49" s="21">
        <v>1</v>
      </c>
      <c r="F49" s="21">
        <v>1</v>
      </c>
      <c r="G49" s="22" t="e">
        <f t="shared" si="2"/>
        <v>#REF!</v>
      </c>
      <c r="H49" s="22" t="e">
        <f t="shared" si="1"/>
        <v>#REF!</v>
      </c>
      <c r="I49" s="11"/>
      <c r="J49" s="11"/>
      <c r="K49" s="11"/>
      <c r="L49" s="11"/>
      <c r="M49" s="11"/>
      <c r="N49" s="11"/>
      <c r="O49" s="11"/>
      <c r="P49" s="11"/>
      <c r="Q49" s="11"/>
    </row>
    <row r="50" spans="1:17" ht="15.75" customHeight="1" x14ac:dyDescent="0.3">
      <c r="A50" s="3">
        <v>162</v>
      </c>
      <c r="B50" s="4" t="s">
        <v>238</v>
      </c>
      <c r="C50" s="31" t="e">
        <f>#REF!</f>
        <v>#REF!</v>
      </c>
      <c r="D50" s="21" t="e">
        <f>#REF!</f>
        <v>#REF!</v>
      </c>
      <c r="E50" s="21">
        <v>1</v>
      </c>
      <c r="F50" s="21">
        <v>1</v>
      </c>
      <c r="G50" s="22" t="e">
        <f t="shared" si="2"/>
        <v>#REF!</v>
      </c>
      <c r="H50" s="22" t="e">
        <f t="shared" si="1"/>
        <v>#REF!</v>
      </c>
      <c r="I50" s="11"/>
      <c r="J50" s="11"/>
      <c r="K50" s="11"/>
      <c r="L50" s="11"/>
      <c r="M50" s="11"/>
      <c r="N50" s="11"/>
      <c r="O50" s="11"/>
      <c r="P50" s="11"/>
      <c r="Q50" s="11"/>
    </row>
    <row r="51" spans="1:17" ht="15.75" customHeight="1" x14ac:dyDescent="0.3">
      <c r="A51" s="3">
        <v>166</v>
      </c>
      <c r="B51" s="4" t="s">
        <v>239</v>
      </c>
      <c r="C51" s="31" t="e">
        <f>#REF!</f>
        <v>#REF!</v>
      </c>
      <c r="D51" s="21" t="e">
        <f>#REF!</f>
        <v>#REF!</v>
      </c>
      <c r="E51" s="21"/>
      <c r="F51" s="21"/>
      <c r="G51" s="22"/>
      <c r="H51" s="22"/>
      <c r="I51" s="11"/>
      <c r="J51" s="11"/>
      <c r="K51" s="11"/>
      <c r="L51" s="11"/>
      <c r="M51" s="11"/>
      <c r="N51" s="11"/>
      <c r="O51" s="11"/>
      <c r="P51" s="11"/>
      <c r="Q51" s="11"/>
    </row>
    <row r="52" spans="1:17" ht="15.75" customHeight="1" x14ac:dyDescent="0.3">
      <c r="A52" s="3">
        <v>169</v>
      </c>
      <c r="B52" s="4" t="s">
        <v>240</v>
      </c>
      <c r="C52" s="31" t="e">
        <f>#REF!</f>
        <v>#REF!</v>
      </c>
      <c r="D52" s="21" t="e">
        <f>#REF!</f>
        <v>#REF!</v>
      </c>
      <c r="E52" s="21"/>
      <c r="F52" s="21"/>
      <c r="G52" s="22"/>
      <c r="H52" s="22"/>
      <c r="I52" s="11"/>
      <c r="J52" s="11"/>
      <c r="K52" s="11"/>
      <c r="L52" s="11"/>
      <c r="M52" s="11"/>
      <c r="N52" s="11"/>
      <c r="O52" s="11"/>
      <c r="P52" s="11"/>
      <c r="Q52" s="11"/>
    </row>
    <row r="53" spans="1:17" ht="15.75" hidden="1" customHeight="1" x14ac:dyDescent="0.3">
      <c r="A53" s="3"/>
      <c r="B53" s="33"/>
      <c r="C53" s="34" t="e">
        <f>SUM(C18:C52)</f>
        <v>#REF!</v>
      </c>
      <c r="D53" s="35"/>
      <c r="E53" s="35"/>
      <c r="F53" s="36"/>
      <c r="G53" s="37"/>
      <c r="H53" s="34" t="e">
        <f>MIN(SUM(H18:H52),C53)</f>
        <v>#REF!</v>
      </c>
      <c r="I53" s="11"/>
      <c r="J53" s="11"/>
      <c r="K53" s="11"/>
      <c r="L53" s="11"/>
      <c r="M53" s="11"/>
      <c r="N53" s="11"/>
      <c r="O53" s="11"/>
      <c r="P53" s="11"/>
      <c r="Q53" s="11"/>
    </row>
    <row r="54" spans="1:17" ht="15.75" customHeight="1" x14ac:dyDescent="0.3">
      <c r="A54" s="3"/>
      <c r="B54" s="23" t="s">
        <v>86</v>
      </c>
      <c r="C54" s="9" t="e">
        <f>SUM(C53)</f>
        <v>#REF!</v>
      </c>
      <c r="D54" s="6"/>
      <c r="E54" s="21"/>
      <c r="F54" s="202" t="s">
        <v>87</v>
      </c>
      <c r="G54" s="200"/>
      <c r="H54" s="9" t="e">
        <f>MIN(SUM(H53),C54)</f>
        <v>#REF!</v>
      </c>
      <c r="I54" s="11"/>
      <c r="J54" s="11"/>
      <c r="K54" s="11"/>
      <c r="L54" s="11"/>
      <c r="M54" s="11"/>
      <c r="N54" s="11"/>
      <c r="O54" s="11"/>
      <c r="P54" s="11"/>
      <c r="Q54" s="11"/>
    </row>
    <row r="55" spans="1:17" ht="38.25" customHeight="1" x14ac:dyDescent="0.3">
      <c r="A55" s="3"/>
      <c r="B55" s="27" t="s">
        <v>241</v>
      </c>
      <c r="C55" s="28" t="e">
        <f>IF(C53=0,1,H53/C53)</f>
        <v>#REF!</v>
      </c>
      <c r="D55" s="198" t="s">
        <v>89</v>
      </c>
      <c r="E55" s="199"/>
      <c r="F55" s="199"/>
      <c r="G55" s="199"/>
      <c r="H55" s="200"/>
      <c r="I55" s="11"/>
      <c r="J55" s="11"/>
      <c r="K55" s="11"/>
      <c r="L55" s="11"/>
      <c r="M55" s="11"/>
      <c r="N55" s="11"/>
      <c r="O55" s="11"/>
      <c r="P55" s="11"/>
      <c r="Q55" s="11"/>
    </row>
    <row r="56" spans="1:17" ht="15.75" customHeight="1" x14ac:dyDescent="0.3">
      <c r="A56" s="2" t="s">
        <v>18</v>
      </c>
      <c r="B56" s="203" t="s">
        <v>19</v>
      </c>
      <c r="C56" s="199"/>
      <c r="D56" s="199"/>
      <c r="E56" s="199"/>
      <c r="F56" s="199"/>
      <c r="G56" s="199"/>
      <c r="H56" s="200"/>
      <c r="I56" s="1"/>
      <c r="J56" s="1"/>
      <c r="K56" s="1"/>
      <c r="L56" s="1"/>
      <c r="M56" s="1"/>
      <c r="N56" s="1"/>
      <c r="O56" s="1"/>
      <c r="P56" s="1"/>
      <c r="Q56" s="1"/>
    </row>
    <row r="57" spans="1:17" ht="15.75" customHeight="1" x14ac:dyDescent="0.3">
      <c r="A57" s="3"/>
      <c r="B57" s="23" t="s">
        <v>90</v>
      </c>
      <c r="C57" s="9">
        <f>SUM(C56)</f>
        <v>0</v>
      </c>
      <c r="D57" s="6"/>
      <c r="E57" s="21"/>
      <c r="F57" s="202" t="s">
        <v>91</v>
      </c>
      <c r="G57" s="200"/>
      <c r="H57" s="9">
        <f>MIN(SUM(H56),C57)</f>
        <v>0</v>
      </c>
      <c r="I57" s="11"/>
      <c r="J57" s="11"/>
      <c r="K57" s="11"/>
      <c r="L57" s="11"/>
      <c r="M57" s="11"/>
      <c r="N57" s="11"/>
      <c r="O57" s="11"/>
      <c r="P57" s="11"/>
      <c r="Q57" s="11"/>
    </row>
    <row r="58" spans="1:17" ht="38.25" customHeight="1" x14ac:dyDescent="0.3">
      <c r="A58" s="3"/>
      <c r="B58" s="27" t="s">
        <v>242</v>
      </c>
      <c r="C58" s="28">
        <f>IF(C56=0,1,H56/C56)</f>
        <v>1</v>
      </c>
      <c r="D58" s="198" t="s">
        <v>93</v>
      </c>
      <c r="E58" s="199"/>
      <c r="F58" s="199"/>
      <c r="G58" s="199"/>
      <c r="H58" s="200"/>
      <c r="I58" s="11"/>
      <c r="J58" s="11"/>
      <c r="K58" s="11"/>
      <c r="L58" s="11"/>
      <c r="M58" s="11"/>
      <c r="N58" s="11"/>
      <c r="O58" s="11"/>
      <c r="P58" s="11"/>
      <c r="Q58" s="11"/>
    </row>
    <row r="59" spans="1:17" ht="15.75" customHeight="1" x14ac:dyDescent="0.3">
      <c r="A59" s="2" t="s">
        <v>20</v>
      </c>
      <c r="B59" s="203" t="s">
        <v>21</v>
      </c>
      <c r="C59" s="199"/>
      <c r="D59" s="199"/>
      <c r="E59" s="199"/>
      <c r="F59" s="199"/>
      <c r="G59" s="199"/>
      <c r="H59" s="200"/>
      <c r="I59" s="11"/>
      <c r="J59" s="11"/>
      <c r="K59" s="11"/>
      <c r="L59" s="11"/>
      <c r="M59" s="11"/>
      <c r="N59" s="11"/>
      <c r="O59" s="11"/>
      <c r="P59" s="11"/>
      <c r="Q59" s="11"/>
    </row>
    <row r="60" spans="1:17" ht="15.75" customHeight="1" x14ac:dyDescent="0.3">
      <c r="A60" s="3"/>
      <c r="B60" s="4"/>
      <c r="C60" s="3"/>
      <c r="D60" s="5"/>
      <c r="E60" s="3"/>
      <c r="F60" s="31"/>
      <c r="G60" s="31"/>
      <c r="H60" s="31"/>
      <c r="I60" s="11"/>
      <c r="J60" s="11"/>
      <c r="K60" s="11"/>
      <c r="L60" s="11"/>
      <c r="M60" s="11"/>
      <c r="N60" s="11"/>
      <c r="O60" s="11"/>
      <c r="P60" s="11"/>
      <c r="Q60" s="11"/>
    </row>
    <row r="61" spans="1:17" ht="15.75" customHeight="1" x14ac:dyDescent="0.3">
      <c r="A61" s="3"/>
      <c r="B61" s="23" t="s">
        <v>243</v>
      </c>
      <c r="C61" s="9">
        <f>SUM(C60)</f>
        <v>0</v>
      </c>
      <c r="D61" s="6"/>
      <c r="E61" s="21"/>
      <c r="F61" s="202" t="s">
        <v>244</v>
      </c>
      <c r="G61" s="200"/>
      <c r="H61" s="9">
        <f>MIN(SUM(H60),C61)</f>
        <v>0</v>
      </c>
      <c r="I61" s="11"/>
      <c r="J61" s="11"/>
      <c r="K61" s="11"/>
      <c r="L61" s="11"/>
      <c r="M61" s="11"/>
      <c r="N61" s="11"/>
      <c r="O61" s="11"/>
      <c r="P61" s="11"/>
      <c r="Q61" s="11"/>
    </row>
    <row r="62" spans="1:17" ht="38.25" customHeight="1" x14ac:dyDescent="0.3">
      <c r="A62" s="3"/>
      <c r="B62" s="27" t="s">
        <v>245</v>
      </c>
      <c r="C62" s="28">
        <f>IF(C60=0,1,H60/C60)</f>
        <v>1</v>
      </c>
      <c r="D62" s="198" t="s">
        <v>246</v>
      </c>
      <c r="E62" s="199"/>
      <c r="F62" s="199"/>
      <c r="G62" s="199"/>
      <c r="H62" s="200"/>
      <c r="I62" s="11"/>
      <c r="J62" s="11"/>
      <c r="K62" s="11"/>
      <c r="L62" s="11"/>
      <c r="M62" s="11"/>
      <c r="N62" s="11"/>
      <c r="O62" s="11"/>
      <c r="P62" s="11"/>
      <c r="Q62" s="11"/>
    </row>
    <row r="63" spans="1:17" ht="38.25" customHeight="1" x14ac:dyDescent="0.3">
      <c r="A63" s="89"/>
      <c r="B63" s="90"/>
      <c r="C63" s="91"/>
      <c r="D63" s="92"/>
      <c r="E63" s="92"/>
      <c r="F63" s="92"/>
      <c r="G63" s="92"/>
      <c r="H63" s="92"/>
      <c r="I63" s="11"/>
      <c r="J63" s="11"/>
      <c r="K63" s="11"/>
      <c r="L63" s="11"/>
      <c r="M63" s="11"/>
      <c r="N63" s="11"/>
      <c r="O63" s="11"/>
      <c r="P63" s="11"/>
      <c r="Q63" s="11"/>
    </row>
    <row r="64" spans="1:17" ht="106.5" customHeight="1" x14ac:dyDescent="0.3">
      <c r="A64" s="11"/>
      <c r="B64" s="11"/>
      <c r="C64" s="11"/>
      <c r="D64" s="204" t="s">
        <v>247</v>
      </c>
      <c r="E64" s="194"/>
      <c r="F64" s="194"/>
      <c r="G64" s="194"/>
      <c r="H64" s="194"/>
      <c r="I64" s="11"/>
      <c r="J64" s="11"/>
      <c r="K64" s="11"/>
      <c r="L64" s="11"/>
      <c r="M64" s="11"/>
      <c r="N64" s="11"/>
      <c r="O64" s="11"/>
      <c r="P64" s="11"/>
      <c r="Q64" s="11"/>
    </row>
    <row r="65" spans="1:17" ht="15.75" customHeight="1" x14ac:dyDescent="0.4">
      <c r="A65" s="11"/>
      <c r="B65" s="40" t="s">
        <v>23</v>
      </c>
      <c r="C65" s="40"/>
      <c r="D65" s="41"/>
      <c r="E65" s="42"/>
      <c r="F65" s="42"/>
      <c r="G65" s="42"/>
      <c r="H65" s="42"/>
      <c r="I65" s="11"/>
      <c r="J65" s="11"/>
      <c r="K65" s="11"/>
      <c r="L65" s="11"/>
      <c r="M65" s="11"/>
      <c r="N65" s="11"/>
      <c r="O65" s="11"/>
      <c r="P65" s="11"/>
      <c r="Q65" s="11"/>
    </row>
    <row r="66" spans="1:17" ht="285" customHeight="1" x14ac:dyDescent="0.3">
      <c r="A66" s="11"/>
      <c r="B66" s="197" t="s">
        <v>248</v>
      </c>
      <c r="C66" s="194"/>
      <c r="D66" s="194"/>
      <c r="E66" s="194"/>
      <c r="F66" s="194"/>
      <c r="G66" s="194"/>
      <c r="H66" s="194"/>
      <c r="I66" s="11"/>
      <c r="J66" s="11"/>
      <c r="K66" s="11"/>
      <c r="L66" s="11"/>
      <c r="M66" s="11"/>
      <c r="N66" s="11"/>
      <c r="O66" s="11"/>
      <c r="P66" s="11"/>
      <c r="Q66" s="11"/>
    </row>
    <row r="67" spans="1:17" ht="15.75" customHeight="1" x14ac:dyDescent="0.3">
      <c r="A67" s="11"/>
      <c r="B67" s="11"/>
      <c r="C67" s="11"/>
      <c r="D67" s="43"/>
      <c r="E67" s="11"/>
      <c r="F67" s="11"/>
      <c r="G67" s="11"/>
      <c r="H67" s="11"/>
      <c r="I67" s="11"/>
      <c r="J67" s="11"/>
      <c r="K67" s="11"/>
      <c r="L67" s="11"/>
      <c r="M67" s="11"/>
      <c r="N67" s="11"/>
      <c r="O67" s="11"/>
      <c r="P67" s="11"/>
      <c r="Q67" s="11"/>
    </row>
    <row r="68" spans="1:17" ht="15.75" customHeight="1" x14ac:dyDescent="0.3">
      <c r="A68" s="11"/>
      <c r="B68" s="11"/>
      <c r="C68" s="11"/>
      <c r="D68" s="43"/>
      <c r="E68" s="11"/>
      <c r="F68" s="11"/>
      <c r="G68" s="11"/>
      <c r="H68" s="11"/>
      <c r="I68" s="11"/>
      <c r="J68" s="11"/>
      <c r="K68" s="11"/>
      <c r="L68" s="11"/>
      <c r="M68" s="11"/>
      <c r="N68" s="11"/>
      <c r="O68" s="11"/>
      <c r="P68" s="11"/>
      <c r="Q68" s="11"/>
    </row>
    <row r="69" spans="1:17" ht="15.75" customHeight="1" x14ac:dyDescent="0.3">
      <c r="A69" s="11"/>
      <c r="B69" s="11"/>
      <c r="C69" s="11"/>
      <c r="D69" s="43"/>
      <c r="E69" s="11"/>
      <c r="F69" s="11"/>
      <c r="G69" s="11"/>
      <c r="H69" s="11"/>
      <c r="I69" s="11"/>
      <c r="J69" s="11"/>
      <c r="K69" s="11"/>
      <c r="L69" s="11"/>
      <c r="M69" s="11"/>
      <c r="N69" s="11"/>
      <c r="O69" s="11"/>
      <c r="P69" s="11"/>
      <c r="Q69" s="11"/>
    </row>
    <row r="70" spans="1:17" ht="15.75" customHeight="1" x14ac:dyDescent="0.3">
      <c r="A70" s="11"/>
      <c r="B70" s="11"/>
      <c r="C70" s="11"/>
      <c r="D70" s="43"/>
      <c r="E70" s="11"/>
      <c r="F70" s="11"/>
      <c r="G70" s="11"/>
      <c r="H70" s="11"/>
      <c r="I70" s="11"/>
      <c r="J70" s="11"/>
      <c r="K70" s="11"/>
      <c r="L70" s="11"/>
      <c r="M70" s="11"/>
      <c r="N70" s="11"/>
      <c r="O70" s="11"/>
      <c r="P70" s="11"/>
      <c r="Q70" s="11"/>
    </row>
    <row r="71" spans="1:17" ht="15.75" customHeight="1" x14ac:dyDescent="0.3">
      <c r="A71" s="11"/>
      <c r="B71" s="11"/>
      <c r="C71" s="11"/>
      <c r="D71" s="43"/>
      <c r="E71" s="11"/>
      <c r="F71" s="11"/>
      <c r="G71" s="11"/>
      <c r="H71" s="11"/>
      <c r="I71" s="11"/>
      <c r="J71" s="11"/>
      <c r="K71" s="11"/>
      <c r="L71" s="11"/>
      <c r="M71" s="11"/>
      <c r="N71" s="11"/>
      <c r="O71" s="11"/>
      <c r="P71" s="11"/>
      <c r="Q71" s="11"/>
    </row>
    <row r="72" spans="1:17" ht="15.75" customHeight="1" x14ac:dyDescent="0.3">
      <c r="A72" s="11"/>
      <c r="B72" s="11"/>
      <c r="C72" s="11"/>
      <c r="D72" s="43"/>
      <c r="E72" s="11"/>
      <c r="F72" s="11"/>
      <c r="G72" s="11"/>
      <c r="H72" s="11"/>
      <c r="I72" s="11"/>
      <c r="J72" s="11"/>
      <c r="K72" s="11"/>
      <c r="L72" s="11"/>
      <c r="M72" s="11"/>
      <c r="N72" s="11"/>
      <c r="O72" s="11"/>
      <c r="P72" s="11"/>
      <c r="Q72" s="11"/>
    </row>
    <row r="73" spans="1:17" ht="15.75" customHeight="1" x14ac:dyDescent="0.3">
      <c r="A73" s="11"/>
      <c r="B73" s="11"/>
      <c r="C73" s="11"/>
      <c r="D73" s="43"/>
      <c r="E73" s="11"/>
      <c r="F73" s="11"/>
      <c r="G73" s="11"/>
      <c r="H73" s="11"/>
      <c r="I73" s="11"/>
      <c r="J73" s="11"/>
      <c r="K73" s="11"/>
      <c r="L73" s="11"/>
      <c r="M73" s="11"/>
      <c r="N73" s="11"/>
      <c r="O73" s="11"/>
      <c r="P73" s="11"/>
      <c r="Q73" s="11"/>
    </row>
    <row r="74" spans="1:17" ht="15.75" customHeight="1" x14ac:dyDescent="0.3">
      <c r="A74" s="11"/>
      <c r="B74" s="11"/>
      <c r="C74" s="11"/>
      <c r="D74" s="43"/>
      <c r="E74" s="11"/>
      <c r="F74" s="11"/>
      <c r="G74" s="11"/>
      <c r="H74" s="11"/>
      <c r="I74" s="11"/>
      <c r="J74" s="11"/>
      <c r="K74" s="11"/>
      <c r="L74" s="11"/>
      <c r="M74" s="11"/>
      <c r="N74" s="11"/>
      <c r="O74" s="11"/>
      <c r="P74" s="11"/>
      <c r="Q74" s="11"/>
    </row>
    <row r="75" spans="1:17" ht="15.75" customHeight="1" x14ac:dyDescent="0.3">
      <c r="A75" s="11"/>
      <c r="B75" s="11"/>
      <c r="C75" s="11"/>
      <c r="D75" s="43"/>
      <c r="E75" s="11"/>
      <c r="F75" s="11"/>
      <c r="G75" s="11"/>
      <c r="H75" s="11"/>
      <c r="I75" s="11"/>
      <c r="J75" s="11"/>
      <c r="K75" s="11"/>
      <c r="L75" s="11"/>
      <c r="M75" s="11"/>
      <c r="N75" s="11"/>
      <c r="O75" s="11"/>
      <c r="P75" s="11"/>
      <c r="Q75" s="11"/>
    </row>
    <row r="76" spans="1:17" ht="15.75" customHeight="1" x14ac:dyDescent="0.3">
      <c r="A76" s="11"/>
      <c r="B76" s="11"/>
      <c r="C76" s="11"/>
      <c r="D76" s="43"/>
      <c r="E76" s="11"/>
      <c r="F76" s="11"/>
      <c r="G76" s="11"/>
      <c r="H76" s="11"/>
      <c r="I76" s="11"/>
      <c r="J76" s="11"/>
      <c r="K76" s="11"/>
      <c r="L76" s="11"/>
      <c r="M76" s="11"/>
      <c r="N76" s="11"/>
      <c r="O76" s="11"/>
      <c r="P76" s="11"/>
      <c r="Q76" s="11"/>
    </row>
    <row r="77" spans="1:17" ht="15.75" customHeight="1" x14ac:dyDescent="0.3">
      <c r="A77" s="11"/>
      <c r="B77" s="11"/>
      <c r="C77" s="11"/>
      <c r="D77" s="43"/>
      <c r="E77" s="11"/>
      <c r="F77" s="11"/>
      <c r="G77" s="11"/>
      <c r="H77" s="11"/>
      <c r="I77" s="11"/>
      <c r="J77" s="11"/>
      <c r="K77" s="11"/>
      <c r="L77" s="11"/>
      <c r="M77" s="11"/>
      <c r="N77" s="11"/>
      <c r="O77" s="11"/>
      <c r="P77" s="11"/>
      <c r="Q77" s="11"/>
    </row>
    <row r="78" spans="1:17" ht="15.75" customHeight="1" x14ac:dyDescent="0.3">
      <c r="A78" s="11"/>
      <c r="B78" s="11"/>
      <c r="C78" s="11"/>
      <c r="D78" s="43"/>
      <c r="E78" s="11"/>
      <c r="F78" s="11"/>
      <c r="G78" s="11"/>
      <c r="H78" s="11"/>
      <c r="I78" s="11"/>
      <c r="J78" s="11"/>
      <c r="K78" s="11"/>
      <c r="L78" s="11"/>
      <c r="M78" s="11"/>
      <c r="N78" s="11"/>
      <c r="O78" s="11"/>
      <c r="P78" s="11"/>
      <c r="Q78" s="11"/>
    </row>
    <row r="79" spans="1:17" ht="15.75" customHeight="1" x14ac:dyDescent="0.3">
      <c r="A79" s="11"/>
      <c r="B79" s="11"/>
      <c r="C79" s="11"/>
      <c r="D79" s="43"/>
      <c r="E79" s="11"/>
      <c r="F79" s="11"/>
      <c r="G79" s="11"/>
      <c r="H79" s="11"/>
      <c r="I79" s="11"/>
      <c r="J79" s="11"/>
      <c r="K79" s="11"/>
      <c r="L79" s="11"/>
      <c r="M79" s="11"/>
      <c r="N79" s="11"/>
      <c r="O79" s="11"/>
      <c r="P79" s="11"/>
      <c r="Q79" s="11"/>
    </row>
    <row r="80" spans="1:17" ht="15.75" customHeight="1" x14ac:dyDescent="0.3">
      <c r="A80" s="11"/>
      <c r="B80" s="11"/>
      <c r="C80" s="11"/>
      <c r="D80" s="43"/>
      <c r="E80" s="11"/>
      <c r="F80" s="11"/>
      <c r="G80" s="11"/>
      <c r="H80" s="11"/>
      <c r="I80" s="11"/>
      <c r="J80" s="11"/>
      <c r="K80" s="11"/>
      <c r="L80" s="11"/>
      <c r="M80" s="11"/>
      <c r="N80" s="11"/>
      <c r="O80" s="11"/>
      <c r="P80" s="11"/>
      <c r="Q80" s="11"/>
    </row>
    <row r="81" spans="1:17" ht="15.75" customHeight="1" x14ac:dyDescent="0.3">
      <c r="A81" s="11"/>
      <c r="B81" s="11"/>
      <c r="C81" s="11"/>
      <c r="D81" s="43"/>
      <c r="E81" s="11"/>
      <c r="F81" s="11"/>
      <c r="G81" s="11"/>
      <c r="H81" s="11"/>
      <c r="I81" s="11"/>
      <c r="J81" s="11"/>
      <c r="K81" s="11"/>
      <c r="L81" s="11"/>
      <c r="M81" s="11"/>
      <c r="N81" s="11"/>
      <c r="O81" s="11"/>
      <c r="P81" s="11"/>
      <c r="Q81" s="11"/>
    </row>
    <row r="82" spans="1:17" ht="15.75" customHeight="1" x14ac:dyDescent="0.3">
      <c r="A82" s="11"/>
      <c r="B82" s="11"/>
      <c r="C82" s="11"/>
      <c r="D82" s="43"/>
      <c r="E82" s="11"/>
      <c r="F82" s="11"/>
      <c r="G82" s="11"/>
      <c r="H82" s="11"/>
      <c r="I82" s="11"/>
      <c r="J82" s="11"/>
      <c r="K82" s="11"/>
      <c r="L82" s="11"/>
      <c r="M82" s="11"/>
      <c r="N82" s="11"/>
      <c r="O82" s="11"/>
      <c r="P82" s="11"/>
      <c r="Q82" s="11"/>
    </row>
    <row r="83" spans="1:17" ht="15.75" customHeight="1" x14ac:dyDescent="0.3">
      <c r="A83" s="11"/>
      <c r="B83" s="11"/>
      <c r="C83" s="11"/>
      <c r="D83" s="43"/>
      <c r="E83" s="11"/>
      <c r="F83" s="11"/>
      <c r="G83" s="11"/>
      <c r="H83" s="11"/>
      <c r="I83" s="11"/>
      <c r="J83" s="11"/>
      <c r="K83" s="11"/>
      <c r="L83" s="11"/>
      <c r="M83" s="11"/>
      <c r="N83" s="11"/>
      <c r="O83" s="11"/>
      <c r="P83" s="11"/>
      <c r="Q83" s="11"/>
    </row>
    <row r="84" spans="1:17" ht="15.75" customHeight="1" x14ac:dyDescent="0.3">
      <c r="A84" s="11"/>
      <c r="B84" s="11"/>
      <c r="C84" s="11"/>
      <c r="D84" s="43"/>
      <c r="E84" s="11"/>
      <c r="F84" s="11"/>
      <c r="G84" s="11"/>
      <c r="H84" s="11"/>
      <c r="I84" s="11"/>
      <c r="J84" s="11"/>
      <c r="K84" s="11"/>
      <c r="L84" s="11"/>
      <c r="M84" s="11"/>
      <c r="N84" s="11"/>
      <c r="O84" s="11"/>
      <c r="P84" s="11"/>
      <c r="Q84" s="11"/>
    </row>
    <row r="85" spans="1:17" ht="15.75" customHeight="1" x14ac:dyDescent="0.3">
      <c r="A85" s="11"/>
      <c r="B85" s="11"/>
      <c r="C85" s="11"/>
      <c r="D85" s="43"/>
      <c r="E85" s="11"/>
      <c r="F85" s="11"/>
      <c r="G85" s="11"/>
      <c r="H85" s="11"/>
      <c r="I85" s="11"/>
      <c r="J85" s="11"/>
      <c r="K85" s="11"/>
      <c r="L85" s="11"/>
      <c r="M85" s="11"/>
      <c r="N85" s="11"/>
      <c r="O85" s="11"/>
      <c r="P85" s="11"/>
      <c r="Q85" s="11"/>
    </row>
    <row r="86" spans="1:17" ht="15.75" customHeight="1" x14ac:dyDescent="0.3">
      <c r="A86" s="11"/>
      <c r="B86" s="11"/>
      <c r="C86" s="11"/>
      <c r="D86" s="43"/>
      <c r="E86" s="11"/>
      <c r="F86" s="11"/>
      <c r="G86" s="11"/>
      <c r="H86" s="11"/>
      <c r="I86" s="11"/>
      <c r="J86" s="11"/>
      <c r="K86" s="11"/>
      <c r="L86" s="11"/>
      <c r="M86" s="11"/>
      <c r="N86" s="11"/>
      <c r="O86" s="11"/>
      <c r="P86" s="11"/>
      <c r="Q86" s="11"/>
    </row>
    <row r="87" spans="1:17" ht="15.75" customHeight="1" x14ac:dyDescent="0.3">
      <c r="A87" s="11"/>
      <c r="B87" s="11"/>
      <c r="C87" s="11"/>
      <c r="D87" s="43"/>
      <c r="E87" s="11"/>
      <c r="F87" s="11"/>
      <c r="G87" s="11"/>
      <c r="H87" s="11"/>
      <c r="I87" s="11"/>
      <c r="J87" s="11"/>
      <c r="K87" s="11"/>
      <c r="L87" s="11"/>
      <c r="M87" s="11"/>
      <c r="N87" s="11"/>
      <c r="O87" s="11"/>
      <c r="P87" s="11"/>
      <c r="Q87" s="11"/>
    </row>
    <row r="88" spans="1:17" ht="15.75" customHeight="1" x14ac:dyDescent="0.3">
      <c r="A88" s="11"/>
      <c r="B88" s="11"/>
      <c r="C88" s="11"/>
      <c r="D88" s="43"/>
      <c r="E88" s="11"/>
      <c r="F88" s="11"/>
      <c r="G88" s="11"/>
      <c r="H88" s="11"/>
      <c r="I88" s="11"/>
      <c r="J88" s="11"/>
      <c r="K88" s="11"/>
      <c r="L88" s="11"/>
      <c r="M88" s="11"/>
      <c r="N88" s="11"/>
      <c r="O88" s="11"/>
      <c r="P88" s="11"/>
      <c r="Q88" s="11"/>
    </row>
    <row r="89" spans="1:17" ht="15.75" customHeight="1" x14ac:dyDescent="0.3">
      <c r="A89" s="11"/>
      <c r="B89" s="11"/>
      <c r="C89" s="11"/>
      <c r="D89" s="43"/>
      <c r="E89" s="11"/>
      <c r="F89" s="11"/>
      <c r="G89" s="11"/>
      <c r="H89" s="11"/>
      <c r="I89" s="11"/>
      <c r="J89" s="11"/>
      <c r="K89" s="11"/>
      <c r="L89" s="11"/>
      <c r="M89" s="11"/>
      <c r="N89" s="11"/>
      <c r="O89" s="11"/>
      <c r="P89" s="11"/>
      <c r="Q89" s="11"/>
    </row>
    <row r="90" spans="1:17" ht="15.75" customHeight="1" x14ac:dyDescent="0.3">
      <c r="A90" s="11"/>
      <c r="B90" s="11"/>
      <c r="C90" s="11"/>
      <c r="D90" s="43"/>
      <c r="E90" s="11"/>
      <c r="F90" s="11"/>
      <c r="G90" s="11"/>
      <c r="H90" s="11"/>
      <c r="I90" s="11"/>
      <c r="J90" s="11"/>
      <c r="K90" s="11"/>
      <c r="L90" s="11"/>
      <c r="M90" s="11"/>
      <c r="N90" s="11"/>
      <c r="O90" s="11"/>
      <c r="P90" s="11"/>
      <c r="Q90" s="11"/>
    </row>
    <row r="91" spans="1:17" ht="15.75" customHeight="1" x14ac:dyDescent="0.3">
      <c r="A91" s="11"/>
      <c r="B91" s="11"/>
      <c r="C91" s="11"/>
      <c r="D91" s="43"/>
      <c r="E91" s="11"/>
      <c r="F91" s="11"/>
      <c r="G91" s="11"/>
      <c r="H91" s="11"/>
      <c r="I91" s="11"/>
      <c r="J91" s="11"/>
      <c r="K91" s="11"/>
      <c r="L91" s="11"/>
      <c r="M91" s="11"/>
      <c r="N91" s="11"/>
      <c r="O91" s="11"/>
      <c r="P91" s="11"/>
      <c r="Q91" s="11"/>
    </row>
    <row r="92" spans="1:17" ht="15.75" customHeight="1" x14ac:dyDescent="0.3">
      <c r="A92" s="11"/>
      <c r="B92" s="11"/>
      <c r="C92" s="11"/>
      <c r="D92" s="43"/>
      <c r="E92" s="11"/>
      <c r="F92" s="11"/>
      <c r="G92" s="11"/>
      <c r="H92" s="11"/>
      <c r="I92" s="11"/>
      <c r="J92" s="11"/>
      <c r="K92" s="11"/>
      <c r="L92" s="11"/>
      <c r="M92" s="11"/>
      <c r="N92" s="11"/>
      <c r="O92" s="11"/>
      <c r="P92" s="11"/>
      <c r="Q92" s="11"/>
    </row>
    <row r="93" spans="1:17" ht="15.75" customHeight="1" x14ac:dyDescent="0.3">
      <c r="A93" s="11"/>
      <c r="B93" s="11"/>
      <c r="C93" s="11"/>
      <c r="D93" s="43"/>
      <c r="E93" s="11"/>
      <c r="F93" s="11"/>
      <c r="G93" s="11"/>
      <c r="H93" s="11"/>
      <c r="I93" s="11"/>
      <c r="J93" s="11"/>
      <c r="K93" s="11"/>
      <c r="L93" s="11"/>
      <c r="M93" s="11"/>
      <c r="N93" s="11"/>
      <c r="O93" s="11"/>
      <c r="P93" s="11"/>
      <c r="Q93" s="11"/>
    </row>
    <row r="94" spans="1:17" ht="15.75" customHeight="1" x14ac:dyDescent="0.3">
      <c r="A94" s="11"/>
      <c r="B94" s="11"/>
      <c r="C94" s="11"/>
      <c r="D94" s="43"/>
      <c r="E94" s="11"/>
      <c r="F94" s="11"/>
      <c r="G94" s="11"/>
      <c r="H94" s="11"/>
      <c r="I94" s="11"/>
      <c r="J94" s="11"/>
      <c r="K94" s="11"/>
      <c r="L94" s="11"/>
      <c r="M94" s="11"/>
      <c r="N94" s="11"/>
      <c r="O94" s="11"/>
      <c r="P94" s="11"/>
      <c r="Q94" s="11"/>
    </row>
    <row r="95" spans="1:17" ht="15.75" customHeight="1" x14ac:dyDescent="0.3">
      <c r="A95" s="11"/>
      <c r="B95" s="11"/>
      <c r="C95" s="11"/>
      <c r="D95" s="43"/>
      <c r="E95" s="11"/>
      <c r="F95" s="11"/>
      <c r="G95" s="11"/>
      <c r="H95" s="11"/>
      <c r="I95" s="11"/>
      <c r="J95" s="11"/>
      <c r="K95" s="11"/>
      <c r="L95" s="11"/>
      <c r="M95" s="11"/>
      <c r="N95" s="11"/>
      <c r="O95" s="11"/>
      <c r="P95" s="11"/>
      <c r="Q95" s="11"/>
    </row>
    <row r="96" spans="1:17" ht="15.75" customHeight="1" x14ac:dyDescent="0.3">
      <c r="A96" s="11"/>
      <c r="B96" s="11"/>
      <c r="C96" s="11"/>
      <c r="D96" s="43"/>
      <c r="E96" s="11"/>
      <c r="F96" s="11"/>
      <c r="G96" s="11"/>
      <c r="H96" s="11"/>
      <c r="I96" s="11"/>
      <c r="J96" s="11"/>
      <c r="K96" s="11"/>
      <c r="L96" s="11"/>
      <c r="M96" s="11"/>
      <c r="N96" s="11"/>
      <c r="O96" s="11"/>
      <c r="P96" s="11"/>
      <c r="Q96" s="11"/>
    </row>
    <row r="97" spans="1:17" ht="15.75" customHeight="1" x14ac:dyDescent="0.3">
      <c r="A97" s="11"/>
      <c r="B97" s="11"/>
      <c r="C97" s="11"/>
      <c r="D97" s="43"/>
      <c r="E97" s="11"/>
      <c r="F97" s="11"/>
      <c r="G97" s="11"/>
      <c r="H97" s="11"/>
      <c r="I97" s="11"/>
      <c r="J97" s="11"/>
      <c r="K97" s="11"/>
      <c r="L97" s="11"/>
      <c r="M97" s="11"/>
      <c r="N97" s="11"/>
      <c r="O97" s="11"/>
      <c r="P97" s="11"/>
      <c r="Q97" s="11"/>
    </row>
    <row r="98" spans="1:17" ht="15.75" customHeight="1" x14ac:dyDescent="0.3">
      <c r="A98" s="11"/>
      <c r="B98" s="11"/>
      <c r="C98" s="11"/>
      <c r="D98" s="43"/>
      <c r="E98" s="11"/>
      <c r="F98" s="11"/>
      <c r="G98" s="11"/>
      <c r="H98" s="11"/>
      <c r="I98" s="11"/>
      <c r="J98" s="11"/>
      <c r="K98" s="11"/>
      <c r="L98" s="11"/>
      <c r="M98" s="11"/>
      <c r="N98" s="11"/>
      <c r="O98" s="11"/>
      <c r="P98" s="11"/>
      <c r="Q98" s="11"/>
    </row>
    <row r="99" spans="1:17" ht="15.75" customHeight="1" x14ac:dyDescent="0.3">
      <c r="A99" s="11"/>
      <c r="B99" s="11"/>
      <c r="C99" s="11"/>
      <c r="D99" s="43"/>
      <c r="E99" s="11"/>
      <c r="F99" s="11"/>
      <c r="G99" s="11"/>
      <c r="H99" s="11"/>
      <c r="I99" s="11"/>
      <c r="J99" s="11"/>
      <c r="K99" s="11"/>
      <c r="L99" s="11"/>
      <c r="M99" s="11"/>
      <c r="N99" s="11"/>
      <c r="O99" s="11"/>
      <c r="P99" s="11"/>
      <c r="Q99" s="11"/>
    </row>
    <row r="100" spans="1:17" ht="15.75" customHeight="1" x14ac:dyDescent="0.3">
      <c r="A100" s="11"/>
      <c r="B100" s="11"/>
      <c r="C100" s="11"/>
      <c r="D100" s="43"/>
      <c r="E100" s="11"/>
      <c r="F100" s="11"/>
      <c r="G100" s="11"/>
      <c r="H100" s="11"/>
      <c r="I100" s="11"/>
      <c r="J100" s="11"/>
      <c r="K100" s="11"/>
      <c r="L100" s="11"/>
      <c r="M100" s="11"/>
      <c r="N100" s="11"/>
      <c r="O100" s="11"/>
      <c r="P100" s="11"/>
      <c r="Q100" s="11"/>
    </row>
    <row r="101" spans="1:17" ht="15.75" customHeight="1" x14ac:dyDescent="0.3">
      <c r="A101" s="11"/>
      <c r="B101" s="11"/>
      <c r="C101" s="11"/>
      <c r="D101" s="43"/>
      <c r="E101" s="11"/>
      <c r="F101" s="11"/>
      <c r="G101" s="11"/>
      <c r="H101" s="11"/>
      <c r="I101" s="11"/>
      <c r="J101" s="11"/>
      <c r="K101" s="11"/>
      <c r="L101" s="11"/>
      <c r="M101" s="11"/>
      <c r="N101" s="11"/>
      <c r="O101" s="11"/>
      <c r="P101" s="11"/>
      <c r="Q101" s="11"/>
    </row>
    <row r="102" spans="1:17" ht="15.75" customHeight="1" x14ac:dyDescent="0.3">
      <c r="A102" s="11"/>
      <c r="B102" s="11"/>
      <c r="C102" s="11"/>
      <c r="D102" s="43"/>
      <c r="E102" s="11"/>
      <c r="F102" s="11"/>
      <c r="G102" s="11"/>
      <c r="H102" s="11"/>
      <c r="I102" s="11"/>
      <c r="J102" s="11"/>
      <c r="K102" s="11"/>
      <c r="L102" s="11"/>
      <c r="M102" s="11"/>
      <c r="N102" s="11"/>
      <c r="O102" s="11"/>
      <c r="P102" s="11"/>
      <c r="Q102" s="11"/>
    </row>
    <row r="103" spans="1:17" ht="15.75" customHeight="1" x14ac:dyDescent="0.3">
      <c r="A103" s="11"/>
      <c r="B103" s="11"/>
      <c r="C103" s="11"/>
      <c r="D103" s="43"/>
      <c r="E103" s="11"/>
      <c r="F103" s="11"/>
      <c r="G103" s="11"/>
      <c r="H103" s="11"/>
      <c r="I103" s="11"/>
      <c r="J103" s="11"/>
      <c r="K103" s="11"/>
      <c r="L103" s="11"/>
      <c r="M103" s="11"/>
      <c r="N103" s="11"/>
      <c r="O103" s="11"/>
      <c r="P103" s="11"/>
      <c r="Q103" s="11"/>
    </row>
    <row r="104" spans="1:17" ht="15.75" customHeight="1" x14ac:dyDescent="0.3">
      <c r="A104" s="11"/>
      <c r="B104" s="11"/>
      <c r="C104" s="11"/>
      <c r="D104" s="43"/>
      <c r="E104" s="11"/>
      <c r="F104" s="11"/>
      <c r="G104" s="11"/>
      <c r="H104" s="11"/>
      <c r="I104" s="11"/>
      <c r="J104" s="11"/>
      <c r="K104" s="11"/>
      <c r="L104" s="11"/>
      <c r="M104" s="11"/>
      <c r="N104" s="11"/>
      <c r="O104" s="11"/>
      <c r="P104" s="11"/>
      <c r="Q104" s="11"/>
    </row>
    <row r="105" spans="1:17" ht="15.75" customHeight="1" x14ac:dyDescent="0.3">
      <c r="A105" s="11"/>
      <c r="B105" s="11"/>
      <c r="C105" s="11"/>
      <c r="D105" s="43"/>
      <c r="E105" s="11"/>
      <c r="F105" s="11"/>
      <c r="G105" s="11"/>
      <c r="H105" s="11"/>
      <c r="I105" s="11"/>
      <c r="J105" s="11"/>
      <c r="K105" s="11"/>
      <c r="L105" s="11"/>
      <c r="M105" s="11"/>
      <c r="N105" s="11"/>
      <c r="O105" s="11"/>
      <c r="P105" s="11"/>
      <c r="Q105" s="11"/>
    </row>
    <row r="106" spans="1:17" ht="15.75" customHeight="1" x14ac:dyDescent="0.3">
      <c r="A106" s="11"/>
      <c r="B106" s="11"/>
      <c r="C106" s="11"/>
      <c r="D106" s="43"/>
      <c r="E106" s="11"/>
      <c r="F106" s="11"/>
      <c r="G106" s="11"/>
      <c r="H106" s="11"/>
      <c r="I106" s="11"/>
      <c r="J106" s="11"/>
      <c r="K106" s="11"/>
      <c r="L106" s="11"/>
      <c r="M106" s="11"/>
      <c r="N106" s="11"/>
      <c r="O106" s="11"/>
      <c r="P106" s="11"/>
      <c r="Q106" s="11"/>
    </row>
    <row r="107" spans="1:17" ht="15.75" customHeight="1" x14ac:dyDescent="0.3">
      <c r="A107" s="11"/>
      <c r="B107" s="11"/>
      <c r="C107" s="11"/>
      <c r="D107" s="43"/>
      <c r="E107" s="11"/>
      <c r="F107" s="11"/>
      <c r="G107" s="11"/>
      <c r="H107" s="11"/>
      <c r="I107" s="11"/>
      <c r="J107" s="11"/>
      <c r="K107" s="11"/>
      <c r="L107" s="11"/>
      <c r="M107" s="11"/>
      <c r="N107" s="11"/>
      <c r="O107" s="11"/>
      <c r="P107" s="11"/>
      <c r="Q107" s="11"/>
    </row>
    <row r="108" spans="1:17" ht="15.75" customHeight="1" x14ac:dyDescent="0.3">
      <c r="A108" s="11"/>
      <c r="B108" s="11"/>
      <c r="C108" s="11"/>
      <c r="D108" s="43"/>
      <c r="E108" s="11"/>
      <c r="F108" s="11"/>
      <c r="G108" s="11"/>
      <c r="H108" s="11"/>
      <c r="I108" s="11"/>
      <c r="J108" s="11"/>
      <c r="K108" s="11"/>
      <c r="L108" s="11"/>
      <c r="M108" s="11"/>
      <c r="N108" s="11"/>
      <c r="O108" s="11"/>
      <c r="P108" s="11"/>
      <c r="Q108" s="11"/>
    </row>
    <row r="109" spans="1:17" ht="15.75" customHeight="1" x14ac:dyDescent="0.3">
      <c r="A109" s="11"/>
      <c r="B109" s="11"/>
      <c r="C109" s="11"/>
      <c r="D109" s="43"/>
      <c r="E109" s="11"/>
      <c r="F109" s="11"/>
      <c r="G109" s="11"/>
      <c r="H109" s="11"/>
      <c r="I109" s="11"/>
      <c r="J109" s="11"/>
      <c r="K109" s="11"/>
      <c r="L109" s="11"/>
      <c r="M109" s="11"/>
      <c r="N109" s="11"/>
      <c r="O109" s="11"/>
      <c r="P109" s="11"/>
      <c r="Q109" s="11"/>
    </row>
    <row r="110" spans="1:17" ht="15.75" customHeight="1" x14ac:dyDescent="0.3">
      <c r="A110" s="11"/>
      <c r="B110" s="11"/>
      <c r="C110" s="11"/>
      <c r="D110" s="43"/>
      <c r="E110" s="11"/>
      <c r="F110" s="11"/>
      <c r="G110" s="11"/>
      <c r="H110" s="11"/>
      <c r="I110" s="11"/>
      <c r="J110" s="11"/>
      <c r="K110" s="11"/>
      <c r="L110" s="11"/>
      <c r="M110" s="11"/>
      <c r="N110" s="11"/>
      <c r="O110" s="11"/>
      <c r="P110" s="11"/>
      <c r="Q110" s="11"/>
    </row>
    <row r="111" spans="1:17" ht="15.75" customHeight="1" x14ac:dyDescent="0.3">
      <c r="A111" s="11"/>
      <c r="B111" s="11"/>
      <c r="C111" s="11"/>
      <c r="D111" s="43"/>
      <c r="E111" s="11"/>
      <c r="F111" s="11"/>
      <c r="G111" s="11"/>
      <c r="H111" s="11"/>
      <c r="I111" s="11"/>
      <c r="J111" s="11"/>
      <c r="K111" s="11"/>
      <c r="L111" s="11"/>
      <c r="M111" s="11"/>
      <c r="N111" s="11"/>
      <c r="O111" s="11"/>
      <c r="P111" s="11"/>
      <c r="Q111" s="11"/>
    </row>
    <row r="112" spans="1:17" ht="15.75" customHeight="1" x14ac:dyDescent="0.3">
      <c r="A112" s="11"/>
      <c r="B112" s="11"/>
      <c r="C112" s="11"/>
      <c r="D112" s="43"/>
      <c r="E112" s="11"/>
      <c r="F112" s="11"/>
      <c r="G112" s="11"/>
      <c r="H112" s="11"/>
      <c r="I112" s="11"/>
      <c r="J112" s="11"/>
      <c r="K112" s="11"/>
      <c r="L112" s="11"/>
      <c r="M112" s="11"/>
      <c r="N112" s="11"/>
      <c r="O112" s="11"/>
      <c r="P112" s="11"/>
      <c r="Q112" s="11"/>
    </row>
    <row r="113" spans="1:17" ht="15.75" customHeight="1" x14ac:dyDescent="0.3">
      <c r="A113" s="11"/>
      <c r="B113" s="11"/>
      <c r="C113" s="11"/>
      <c r="D113" s="43"/>
      <c r="E113" s="11"/>
      <c r="F113" s="11"/>
      <c r="G113" s="11"/>
      <c r="H113" s="11"/>
      <c r="I113" s="11"/>
      <c r="J113" s="11"/>
      <c r="K113" s="11"/>
      <c r="L113" s="11"/>
      <c r="M113" s="11"/>
      <c r="N113" s="11"/>
      <c r="O113" s="11"/>
      <c r="P113" s="11"/>
      <c r="Q113" s="11"/>
    </row>
    <row r="114" spans="1:17" ht="15.75" customHeight="1" x14ac:dyDescent="0.3">
      <c r="A114" s="11"/>
      <c r="B114" s="11"/>
      <c r="C114" s="11"/>
      <c r="D114" s="43"/>
      <c r="E114" s="11"/>
      <c r="F114" s="11"/>
      <c r="G114" s="11"/>
      <c r="H114" s="11"/>
      <c r="I114" s="11"/>
      <c r="J114" s="11"/>
      <c r="K114" s="11"/>
      <c r="L114" s="11"/>
      <c r="M114" s="11"/>
      <c r="N114" s="11"/>
      <c r="O114" s="11"/>
      <c r="P114" s="11"/>
      <c r="Q114" s="11"/>
    </row>
    <row r="115" spans="1:17" ht="15.75" customHeight="1" x14ac:dyDescent="0.3">
      <c r="A115" s="11"/>
      <c r="B115" s="11"/>
      <c r="C115" s="11"/>
      <c r="D115" s="43"/>
      <c r="E115" s="11"/>
      <c r="F115" s="11"/>
      <c r="G115" s="11"/>
      <c r="H115" s="11"/>
      <c r="I115" s="11"/>
      <c r="J115" s="11"/>
      <c r="K115" s="11"/>
      <c r="L115" s="11"/>
      <c r="M115" s="11"/>
      <c r="N115" s="11"/>
      <c r="O115" s="11"/>
      <c r="P115" s="11"/>
      <c r="Q115" s="11"/>
    </row>
    <row r="116" spans="1:17" ht="15.75" customHeight="1" x14ac:dyDescent="0.3">
      <c r="A116" s="11"/>
      <c r="B116" s="11"/>
      <c r="C116" s="11"/>
      <c r="D116" s="43"/>
      <c r="E116" s="11"/>
      <c r="F116" s="11"/>
      <c r="G116" s="11"/>
      <c r="H116" s="11"/>
      <c r="I116" s="11"/>
      <c r="J116" s="11"/>
      <c r="K116" s="11"/>
      <c r="L116" s="11"/>
      <c r="M116" s="11"/>
      <c r="N116" s="11"/>
      <c r="O116" s="11"/>
      <c r="P116" s="11"/>
      <c r="Q116" s="11"/>
    </row>
    <row r="117" spans="1:17" ht="15.75" customHeight="1" x14ac:dyDescent="0.3">
      <c r="A117" s="11"/>
      <c r="B117" s="11"/>
      <c r="C117" s="11"/>
      <c r="D117" s="43"/>
      <c r="E117" s="11"/>
      <c r="F117" s="11"/>
      <c r="G117" s="11"/>
      <c r="H117" s="11"/>
      <c r="I117" s="11"/>
      <c r="J117" s="11"/>
      <c r="K117" s="11"/>
      <c r="L117" s="11"/>
      <c r="M117" s="11"/>
      <c r="N117" s="11"/>
      <c r="O117" s="11"/>
      <c r="P117" s="11"/>
      <c r="Q117" s="11"/>
    </row>
    <row r="118" spans="1:17" ht="15.75" customHeight="1" x14ac:dyDescent="0.3">
      <c r="A118" s="11"/>
      <c r="B118" s="11"/>
      <c r="C118" s="11"/>
      <c r="D118" s="43"/>
      <c r="E118" s="11"/>
      <c r="F118" s="11"/>
      <c r="G118" s="11"/>
      <c r="H118" s="11"/>
      <c r="I118" s="11"/>
      <c r="J118" s="11"/>
      <c r="K118" s="11"/>
      <c r="L118" s="11"/>
      <c r="M118" s="11"/>
      <c r="N118" s="11"/>
      <c r="O118" s="11"/>
      <c r="P118" s="11"/>
      <c r="Q118" s="11"/>
    </row>
    <row r="119" spans="1:17" ht="15.75" customHeight="1" x14ac:dyDescent="0.3">
      <c r="A119" s="11"/>
      <c r="B119" s="11"/>
      <c r="C119" s="11"/>
      <c r="D119" s="43"/>
      <c r="E119" s="11"/>
      <c r="F119" s="11"/>
      <c r="G119" s="11"/>
      <c r="H119" s="11"/>
      <c r="I119" s="11"/>
      <c r="J119" s="11"/>
      <c r="K119" s="11"/>
      <c r="L119" s="11"/>
      <c r="M119" s="11"/>
      <c r="N119" s="11"/>
      <c r="O119" s="11"/>
      <c r="P119" s="11"/>
      <c r="Q119" s="11"/>
    </row>
    <row r="120" spans="1:17" ht="15.75" customHeight="1" x14ac:dyDescent="0.3">
      <c r="A120" s="11"/>
      <c r="B120" s="11"/>
      <c r="C120" s="11"/>
      <c r="D120" s="43"/>
      <c r="E120" s="11"/>
      <c r="F120" s="11"/>
      <c r="G120" s="11"/>
      <c r="H120" s="11"/>
      <c r="I120" s="11"/>
      <c r="J120" s="11"/>
      <c r="K120" s="11"/>
      <c r="L120" s="11"/>
      <c r="M120" s="11"/>
      <c r="N120" s="11"/>
      <c r="O120" s="11"/>
      <c r="P120" s="11"/>
      <c r="Q120" s="11"/>
    </row>
    <row r="121" spans="1:17" ht="15.75" customHeight="1" x14ac:dyDescent="0.3">
      <c r="A121" s="11"/>
      <c r="B121" s="11"/>
      <c r="C121" s="11"/>
      <c r="D121" s="43"/>
      <c r="E121" s="11"/>
      <c r="F121" s="11"/>
      <c r="G121" s="11"/>
      <c r="H121" s="11"/>
      <c r="I121" s="11"/>
      <c r="J121" s="11"/>
      <c r="K121" s="11"/>
      <c r="L121" s="11"/>
      <c r="M121" s="11"/>
      <c r="N121" s="11"/>
      <c r="O121" s="11"/>
      <c r="P121" s="11"/>
      <c r="Q121" s="11"/>
    </row>
    <row r="122" spans="1:17" ht="15.75" customHeight="1" x14ac:dyDescent="0.3">
      <c r="A122" s="11"/>
      <c r="B122" s="11"/>
      <c r="C122" s="11"/>
      <c r="D122" s="43"/>
      <c r="E122" s="11"/>
      <c r="F122" s="11"/>
      <c r="G122" s="11"/>
      <c r="H122" s="11"/>
      <c r="I122" s="11"/>
      <c r="J122" s="11"/>
      <c r="K122" s="11"/>
      <c r="L122" s="11"/>
      <c r="M122" s="11"/>
      <c r="N122" s="11"/>
      <c r="O122" s="11"/>
      <c r="P122" s="11"/>
      <c r="Q122" s="11"/>
    </row>
    <row r="123" spans="1:17" ht="15.75" customHeight="1" x14ac:dyDescent="0.3">
      <c r="A123" s="11"/>
      <c r="B123" s="11"/>
      <c r="C123" s="11"/>
      <c r="D123" s="43"/>
      <c r="E123" s="11"/>
      <c r="F123" s="11"/>
      <c r="G123" s="11"/>
      <c r="H123" s="11"/>
      <c r="I123" s="11"/>
      <c r="J123" s="11"/>
      <c r="K123" s="11"/>
      <c r="L123" s="11"/>
      <c r="M123" s="11"/>
      <c r="N123" s="11"/>
      <c r="O123" s="11"/>
      <c r="P123" s="11"/>
      <c r="Q123" s="11"/>
    </row>
    <row r="124" spans="1:17" ht="15.75" customHeight="1" x14ac:dyDescent="0.3">
      <c r="A124" s="11"/>
      <c r="B124" s="11"/>
      <c r="C124" s="11"/>
      <c r="D124" s="43"/>
      <c r="E124" s="11"/>
      <c r="F124" s="11"/>
      <c r="G124" s="11"/>
      <c r="H124" s="11"/>
      <c r="I124" s="11"/>
      <c r="J124" s="11"/>
      <c r="K124" s="11"/>
      <c r="L124" s="11"/>
      <c r="M124" s="11"/>
      <c r="N124" s="11"/>
      <c r="O124" s="11"/>
      <c r="P124" s="11"/>
      <c r="Q124" s="11"/>
    </row>
    <row r="125" spans="1:17" ht="15.75" customHeight="1" x14ac:dyDescent="0.3">
      <c r="A125" s="11"/>
      <c r="B125" s="11"/>
      <c r="C125" s="11"/>
      <c r="D125" s="43"/>
      <c r="E125" s="11"/>
      <c r="F125" s="11"/>
      <c r="G125" s="11"/>
      <c r="H125" s="11"/>
      <c r="I125" s="11"/>
      <c r="J125" s="11"/>
      <c r="K125" s="11"/>
      <c r="L125" s="11"/>
      <c r="M125" s="11"/>
      <c r="N125" s="11"/>
      <c r="O125" s="11"/>
      <c r="P125" s="11"/>
      <c r="Q125" s="11"/>
    </row>
    <row r="126" spans="1:17" ht="15.75" customHeight="1" x14ac:dyDescent="0.3">
      <c r="A126" s="11"/>
      <c r="B126" s="11"/>
      <c r="C126" s="11"/>
      <c r="D126" s="43"/>
      <c r="E126" s="11"/>
      <c r="F126" s="11"/>
      <c r="G126" s="11"/>
      <c r="H126" s="11"/>
      <c r="I126" s="11"/>
      <c r="J126" s="11"/>
      <c r="K126" s="11"/>
      <c r="L126" s="11"/>
      <c r="M126" s="11"/>
      <c r="N126" s="11"/>
      <c r="O126" s="11"/>
      <c r="P126" s="11"/>
      <c r="Q126" s="11"/>
    </row>
    <row r="127" spans="1:17" ht="15.75" customHeight="1" x14ac:dyDescent="0.3">
      <c r="A127" s="11"/>
      <c r="B127" s="11"/>
      <c r="C127" s="11"/>
      <c r="D127" s="43"/>
      <c r="E127" s="11"/>
      <c r="F127" s="11"/>
      <c r="G127" s="11"/>
      <c r="H127" s="11"/>
      <c r="I127" s="11"/>
      <c r="J127" s="11"/>
      <c r="K127" s="11"/>
      <c r="L127" s="11"/>
      <c r="M127" s="11"/>
      <c r="N127" s="11"/>
      <c r="O127" s="11"/>
      <c r="P127" s="11"/>
      <c r="Q127" s="11"/>
    </row>
    <row r="128" spans="1:17" ht="15.75" customHeight="1" x14ac:dyDescent="0.3">
      <c r="A128" s="11"/>
      <c r="B128" s="11"/>
      <c r="C128" s="11"/>
      <c r="D128" s="43"/>
      <c r="E128" s="11"/>
      <c r="F128" s="11"/>
      <c r="G128" s="11"/>
      <c r="H128" s="11"/>
      <c r="I128" s="11"/>
      <c r="J128" s="11"/>
      <c r="K128" s="11"/>
      <c r="L128" s="11"/>
      <c r="M128" s="11"/>
      <c r="N128" s="11"/>
      <c r="O128" s="11"/>
      <c r="P128" s="11"/>
      <c r="Q128" s="11"/>
    </row>
    <row r="129" spans="1:17" ht="15.75" customHeight="1" x14ac:dyDescent="0.3">
      <c r="A129" s="11"/>
      <c r="B129" s="11"/>
      <c r="C129" s="11"/>
      <c r="D129" s="43"/>
      <c r="E129" s="11"/>
      <c r="F129" s="11"/>
      <c r="G129" s="11"/>
      <c r="H129" s="11"/>
      <c r="I129" s="11"/>
      <c r="J129" s="11"/>
      <c r="K129" s="11"/>
      <c r="L129" s="11"/>
      <c r="M129" s="11"/>
      <c r="N129" s="11"/>
      <c r="O129" s="11"/>
      <c r="P129" s="11"/>
      <c r="Q129" s="11"/>
    </row>
    <row r="130" spans="1:17" ht="15.75" customHeight="1" x14ac:dyDescent="0.3">
      <c r="A130" s="11"/>
      <c r="B130" s="11"/>
      <c r="C130" s="11"/>
      <c r="D130" s="43"/>
      <c r="E130" s="11"/>
      <c r="F130" s="11"/>
      <c r="G130" s="11"/>
      <c r="H130" s="11"/>
      <c r="I130" s="11"/>
      <c r="J130" s="11"/>
      <c r="K130" s="11"/>
      <c r="L130" s="11"/>
      <c r="M130" s="11"/>
      <c r="N130" s="11"/>
      <c r="O130" s="11"/>
      <c r="P130" s="11"/>
      <c r="Q130" s="11"/>
    </row>
    <row r="131" spans="1:17" ht="15.75" customHeight="1" x14ac:dyDescent="0.3">
      <c r="A131" s="11"/>
      <c r="B131" s="11"/>
      <c r="C131" s="11"/>
      <c r="D131" s="43"/>
      <c r="E131" s="11"/>
      <c r="F131" s="11"/>
      <c r="G131" s="11"/>
      <c r="H131" s="11"/>
      <c r="I131" s="11"/>
      <c r="J131" s="11"/>
      <c r="K131" s="11"/>
      <c r="L131" s="11"/>
      <c r="M131" s="11"/>
      <c r="N131" s="11"/>
      <c r="O131" s="11"/>
      <c r="P131" s="11"/>
      <c r="Q131" s="11"/>
    </row>
    <row r="132" spans="1:17" ht="15.75" customHeight="1" x14ac:dyDescent="0.3">
      <c r="A132" s="11"/>
      <c r="B132" s="11"/>
      <c r="C132" s="11"/>
      <c r="D132" s="43"/>
      <c r="E132" s="11"/>
      <c r="F132" s="11"/>
      <c r="G132" s="11"/>
      <c r="H132" s="11"/>
      <c r="I132" s="11"/>
      <c r="J132" s="11"/>
      <c r="K132" s="11"/>
      <c r="L132" s="11"/>
      <c r="M132" s="11"/>
      <c r="N132" s="11"/>
      <c r="O132" s="11"/>
      <c r="P132" s="11"/>
      <c r="Q132" s="11"/>
    </row>
    <row r="133" spans="1:17" ht="15.75" customHeight="1" x14ac:dyDescent="0.3">
      <c r="A133" s="11"/>
      <c r="B133" s="11"/>
      <c r="C133" s="11"/>
      <c r="D133" s="43"/>
      <c r="E133" s="11"/>
      <c r="F133" s="11"/>
      <c r="G133" s="11"/>
      <c r="H133" s="11"/>
      <c r="I133" s="11"/>
      <c r="J133" s="11"/>
      <c r="K133" s="11"/>
      <c r="L133" s="11"/>
      <c r="M133" s="11"/>
      <c r="N133" s="11"/>
      <c r="O133" s="11"/>
      <c r="P133" s="11"/>
      <c r="Q133" s="11"/>
    </row>
    <row r="134" spans="1:17" ht="15.75" customHeight="1" x14ac:dyDescent="0.3">
      <c r="A134" s="11"/>
      <c r="B134" s="11"/>
      <c r="C134" s="11"/>
      <c r="D134" s="43"/>
      <c r="E134" s="11"/>
      <c r="F134" s="11"/>
      <c r="G134" s="11"/>
      <c r="H134" s="11"/>
      <c r="I134" s="11"/>
      <c r="J134" s="11"/>
      <c r="K134" s="11"/>
      <c r="L134" s="11"/>
      <c r="M134" s="11"/>
      <c r="N134" s="11"/>
      <c r="O134" s="11"/>
      <c r="P134" s="11"/>
      <c r="Q134" s="11"/>
    </row>
    <row r="135" spans="1:17" ht="15.75" customHeight="1" x14ac:dyDescent="0.3">
      <c r="A135" s="11"/>
      <c r="B135" s="11"/>
      <c r="C135" s="11"/>
      <c r="D135" s="43"/>
      <c r="E135" s="11"/>
      <c r="F135" s="11"/>
      <c r="G135" s="11"/>
      <c r="H135" s="11"/>
      <c r="I135" s="11"/>
      <c r="J135" s="11"/>
      <c r="K135" s="11"/>
      <c r="L135" s="11"/>
      <c r="M135" s="11"/>
      <c r="N135" s="11"/>
      <c r="O135" s="11"/>
      <c r="P135" s="11"/>
      <c r="Q135" s="11"/>
    </row>
    <row r="136" spans="1:17" ht="15.75" customHeight="1" x14ac:dyDescent="0.3">
      <c r="A136" s="11"/>
      <c r="B136" s="11"/>
      <c r="C136" s="11"/>
      <c r="D136" s="43"/>
      <c r="E136" s="11"/>
      <c r="F136" s="11"/>
      <c r="G136" s="11"/>
      <c r="H136" s="11"/>
      <c r="I136" s="11"/>
      <c r="J136" s="11"/>
      <c r="K136" s="11"/>
      <c r="L136" s="11"/>
      <c r="M136" s="11"/>
      <c r="N136" s="11"/>
      <c r="O136" s="11"/>
      <c r="P136" s="11"/>
      <c r="Q136" s="11"/>
    </row>
    <row r="137" spans="1:17" ht="15.75" customHeight="1" x14ac:dyDescent="0.3">
      <c r="A137" s="11"/>
      <c r="B137" s="11"/>
      <c r="C137" s="11"/>
      <c r="D137" s="43"/>
      <c r="E137" s="11"/>
      <c r="F137" s="11"/>
      <c r="G137" s="11"/>
      <c r="H137" s="11"/>
      <c r="I137" s="11"/>
      <c r="J137" s="11"/>
      <c r="K137" s="11"/>
      <c r="L137" s="11"/>
      <c r="M137" s="11"/>
      <c r="N137" s="11"/>
      <c r="O137" s="11"/>
      <c r="P137" s="11"/>
      <c r="Q137" s="11"/>
    </row>
    <row r="138" spans="1:17" ht="15.75" customHeight="1" x14ac:dyDescent="0.3">
      <c r="A138" s="11"/>
      <c r="B138" s="11"/>
      <c r="C138" s="11"/>
      <c r="D138" s="43"/>
      <c r="E138" s="11"/>
      <c r="F138" s="11"/>
      <c r="G138" s="11"/>
      <c r="H138" s="11"/>
      <c r="I138" s="11"/>
      <c r="J138" s="11"/>
      <c r="K138" s="11"/>
      <c r="L138" s="11"/>
      <c r="M138" s="11"/>
      <c r="N138" s="11"/>
      <c r="O138" s="11"/>
      <c r="P138" s="11"/>
      <c r="Q138" s="11"/>
    </row>
    <row r="139" spans="1:17" ht="15.75" customHeight="1" x14ac:dyDescent="0.3">
      <c r="A139" s="11"/>
      <c r="B139" s="11"/>
      <c r="C139" s="11"/>
      <c r="D139" s="43"/>
      <c r="E139" s="11"/>
      <c r="F139" s="11"/>
      <c r="G139" s="11"/>
      <c r="H139" s="11"/>
      <c r="I139" s="11"/>
      <c r="J139" s="11"/>
      <c r="K139" s="11"/>
      <c r="L139" s="11"/>
      <c r="M139" s="11"/>
      <c r="N139" s="11"/>
      <c r="O139" s="11"/>
      <c r="P139" s="11"/>
      <c r="Q139" s="11"/>
    </row>
    <row r="140" spans="1:17" ht="15.75" customHeight="1" x14ac:dyDescent="0.3">
      <c r="A140" s="11"/>
      <c r="B140" s="11"/>
      <c r="C140" s="11"/>
      <c r="D140" s="43"/>
      <c r="E140" s="11"/>
      <c r="F140" s="11"/>
      <c r="G140" s="11"/>
      <c r="H140" s="11"/>
      <c r="I140" s="11"/>
      <c r="J140" s="11"/>
      <c r="K140" s="11"/>
      <c r="L140" s="11"/>
      <c r="M140" s="11"/>
      <c r="N140" s="11"/>
      <c r="O140" s="11"/>
      <c r="P140" s="11"/>
      <c r="Q140" s="11"/>
    </row>
    <row r="141" spans="1:17" ht="15.75" customHeight="1" x14ac:dyDescent="0.3">
      <c r="A141" s="11"/>
      <c r="B141" s="11"/>
      <c r="C141" s="11"/>
      <c r="D141" s="43"/>
      <c r="E141" s="11"/>
      <c r="F141" s="11"/>
      <c r="G141" s="11"/>
      <c r="H141" s="11"/>
      <c r="I141" s="11"/>
      <c r="J141" s="11"/>
      <c r="K141" s="11"/>
      <c r="L141" s="11"/>
      <c r="M141" s="11"/>
      <c r="N141" s="11"/>
      <c r="O141" s="11"/>
      <c r="P141" s="11"/>
      <c r="Q141" s="11"/>
    </row>
    <row r="142" spans="1:17" ht="15.75" customHeight="1" x14ac:dyDescent="0.3">
      <c r="A142" s="11"/>
      <c r="B142" s="11"/>
      <c r="C142" s="11"/>
      <c r="D142" s="43"/>
      <c r="E142" s="11"/>
      <c r="F142" s="11"/>
      <c r="G142" s="11"/>
      <c r="H142" s="11"/>
      <c r="I142" s="11"/>
      <c r="J142" s="11"/>
      <c r="K142" s="11"/>
      <c r="L142" s="11"/>
      <c r="M142" s="11"/>
      <c r="N142" s="11"/>
      <c r="O142" s="11"/>
      <c r="P142" s="11"/>
      <c r="Q142" s="11"/>
    </row>
    <row r="143" spans="1:17" ht="15.75" customHeight="1" x14ac:dyDescent="0.3">
      <c r="A143" s="11"/>
      <c r="B143" s="11"/>
      <c r="C143" s="11"/>
      <c r="D143" s="43"/>
      <c r="E143" s="11"/>
      <c r="F143" s="11"/>
      <c r="G143" s="11"/>
      <c r="H143" s="11"/>
      <c r="I143" s="11"/>
      <c r="J143" s="11"/>
      <c r="K143" s="11"/>
      <c r="L143" s="11"/>
      <c r="M143" s="11"/>
      <c r="N143" s="11"/>
      <c r="O143" s="11"/>
      <c r="P143" s="11"/>
      <c r="Q143" s="11"/>
    </row>
    <row r="144" spans="1:17" ht="15.75" customHeight="1" x14ac:dyDescent="0.3">
      <c r="A144" s="11"/>
      <c r="B144" s="11"/>
      <c r="C144" s="11"/>
      <c r="D144" s="43"/>
      <c r="E144" s="11"/>
      <c r="F144" s="11"/>
      <c r="G144" s="11"/>
      <c r="H144" s="11"/>
      <c r="I144" s="11"/>
      <c r="J144" s="11"/>
      <c r="K144" s="11"/>
      <c r="L144" s="11"/>
      <c r="M144" s="11"/>
      <c r="N144" s="11"/>
      <c r="O144" s="11"/>
      <c r="P144" s="11"/>
      <c r="Q144" s="11"/>
    </row>
    <row r="145" spans="1:17" ht="15.75" customHeight="1" x14ac:dyDescent="0.3">
      <c r="A145" s="11"/>
      <c r="B145" s="11"/>
      <c r="C145" s="11"/>
      <c r="D145" s="43"/>
      <c r="E145" s="11"/>
      <c r="F145" s="11"/>
      <c r="G145" s="11"/>
      <c r="H145" s="11"/>
      <c r="I145" s="11"/>
      <c r="J145" s="11"/>
      <c r="K145" s="11"/>
      <c r="L145" s="11"/>
      <c r="M145" s="11"/>
      <c r="N145" s="11"/>
      <c r="O145" s="11"/>
      <c r="P145" s="11"/>
      <c r="Q145" s="11"/>
    </row>
    <row r="146" spans="1:17" ht="15.75" customHeight="1" x14ac:dyDescent="0.3">
      <c r="A146" s="11"/>
      <c r="B146" s="11"/>
      <c r="C146" s="11"/>
      <c r="D146" s="43"/>
      <c r="E146" s="11"/>
      <c r="F146" s="11"/>
      <c r="G146" s="11"/>
      <c r="H146" s="11"/>
      <c r="I146" s="11"/>
      <c r="J146" s="11"/>
      <c r="K146" s="11"/>
      <c r="L146" s="11"/>
      <c r="M146" s="11"/>
      <c r="N146" s="11"/>
      <c r="O146" s="11"/>
      <c r="P146" s="11"/>
      <c r="Q146" s="11"/>
    </row>
    <row r="147" spans="1:17" ht="15.75" customHeight="1" x14ac:dyDescent="0.3">
      <c r="A147" s="11"/>
      <c r="B147" s="11"/>
      <c r="C147" s="11"/>
      <c r="D147" s="43"/>
      <c r="E147" s="11"/>
      <c r="F147" s="11"/>
      <c r="G147" s="11"/>
      <c r="H147" s="11"/>
      <c r="I147" s="11"/>
      <c r="J147" s="11"/>
      <c r="K147" s="11"/>
      <c r="L147" s="11"/>
      <c r="M147" s="11"/>
      <c r="N147" s="11"/>
      <c r="O147" s="11"/>
      <c r="P147" s="11"/>
      <c r="Q147" s="11"/>
    </row>
    <row r="148" spans="1:17" ht="15.75" customHeight="1" x14ac:dyDescent="0.3">
      <c r="A148" s="11"/>
      <c r="B148" s="11"/>
      <c r="C148" s="11"/>
      <c r="D148" s="43"/>
      <c r="E148" s="11"/>
      <c r="F148" s="11"/>
      <c r="G148" s="11"/>
      <c r="H148" s="11"/>
      <c r="I148" s="11"/>
      <c r="J148" s="11"/>
      <c r="K148" s="11"/>
      <c r="L148" s="11"/>
      <c r="M148" s="11"/>
      <c r="N148" s="11"/>
      <c r="O148" s="11"/>
      <c r="P148" s="11"/>
      <c r="Q148" s="11"/>
    </row>
    <row r="149" spans="1:17" ht="15.75" customHeight="1" x14ac:dyDescent="0.3">
      <c r="A149" s="11"/>
      <c r="B149" s="11"/>
      <c r="C149" s="11"/>
      <c r="D149" s="43"/>
      <c r="E149" s="11"/>
      <c r="F149" s="11"/>
      <c r="G149" s="11"/>
      <c r="H149" s="11"/>
      <c r="I149" s="11"/>
      <c r="J149" s="11"/>
      <c r="K149" s="11"/>
      <c r="L149" s="11"/>
      <c r="M149" s="11"/>
      <c r="N149" s="11"/>
      <c r="O149" s="11"/>
      <c r="P149" s="11"/>
      <c r="Q149" s="11"/>
    </row>
    <row r="150" spans="1:17" ht="15.75" customHeight="1" x14ac:dyDescent="0.3">
      <c r="A150" s="11"/>
      <c r="B150" s="11"/>
      <c r="C150" s="11"/>
      <c r="D150" s="43"/>
      <c r="E150" s="11"/>
      <c r="F150" s="11"/>
      <c r="G150" s="11"/>
      <c r="H150" s="11"/>
      <c r="I150" s="11"/>
      <c r="J150" s="11"/>
      <c r="K150" s="11"/>
      <c r="L150" s="11"/>
      <c r="M150" s="11"/>
      <c r="N150" s="11"/>
      <c r="O150" s="11"/>
      <c r="P150" s="11"/>
      <c r="Q150" s="11"/>
    </row>
    <row r="151" spans="1:17" ht="15.75" customHeight="1" x14ac:dyDescent="0.3">
      <c r="A151" s="11"/>
      <c r="B151" s="11"/>
      <c r="C151" s="11"/>
      <c r="D151" s="43"/>
      <c r="E151" s="11"/>
      <c r="F151" s="11"/>
      <c r="G151" s="11"/>
      <c r="H151" s="11"/>
      <c r="I151" s="11"/>
      <c r="J151" s="11"/>
      <c r="K151" s="11"/>
      <c r="L151" s="11"/>
      <c r="M151" s="11"/>
      <c r="N151" s="11"/>
      <c r="O151" s="11"/>
      <c r="P151" s="11"/>
      <c r="Q151" s="11"/>
    </row>
    <row r="152" spans="1:17" ht="15.75" customHeight="1" x14ac:dyDescent="0.3">
      <c r="A152" s="11"/>
      <c r="B152" s="11"/>
      <c r="C152" s="11"/>
      <c r="D152" s="43"/>
      <c r="E152" s="11"/>
      <c r="F152" s="11"/>
      <c r="G152" s="11"/>
      <c r="H152" s="11"/>
      <c r="I152" s="11"/>
      <c r="J152" s="11"/>
      <c r="K152" s="11"/>
      <c r="L152" s="11"/>
      <c r="M152" s="11"/>
      <c r="N152" s="11"/>
      <c r="O152" s="11"/>
      <c r="P152" s="11"/>
      <c r="Q152" s="11"/>
    </row>
    <row r="153" spans="1:17" ht="15.75" customHeight="1" x14ac:dyDescent="0.3">
      <c r="A153" s="11"/>
      <c r="B153" s="11"/>
      <c r="C153" s="11"/>
      <c r="D153" s="43"/>
      <c r="E153" s="11"/>
      <c r="F153" s="11"/>
      <c r="G153" s="11"/>
      <c r="H153" s="11"/>
      <c r="I153" s="11"/>
      <c r="J153" s="11"/>
      <c r="K153" s="11"/>
      <c r="L153" s="11"/>
      <c r="M153" s="11"/>
      <c r="N153" s="11"/>
      <c r="O153" s="11"/>
      <c r="P153" s="11"/>
      <c r="Q153" s="11"/>
    </row>
    <row r="154" spans="1:17" ht="15.75" customHeight="1" x14ac:dyDescent="0.3">
      <c r="A154" s="11"/>
      <c r="B154" s="11"/>
      <c r="C154" s="11"/>
      <c r="D154" s="43"/>
      <c r="E154" s="11"/>
      <c r="F154" s="11"/>
      <c r="G154" s="11"/>
      <c r="H154" s="11"/>
      <c r="I154" s="11"/>
      <c r="J154" s="11"/>
      <c r="K154" s="11"/>
      <c r="L154" s="11"/>
      <c r="M154" s="11"/>
      <c r="N154" s="11"/>
      <c r="O154" s="11"/>
      <c r="P154" s="11"/>
      <c r="Q154" s="11"/>
    </row>
    <row r="155" spans="1:17" ht="15.75" customHeight="1" x14ac:dyDescent="0.3">
      <c r="A155" s="11"/>
      <c r="B155" s="11"/>
      <c r="C155" s="11"/>
      <c r="D155" s="43"/>
      <c r="E155" s="11"/>
      <c r="F155" s="11"/>
      <c r="G155" s="11"/>
      <c r="H155" s="11"/>
      <c r="I155" s="11"/>
      <c r="J155" s="11"/>
      <c r="K155" s="11"/>
      <c r="L155" s="11"/>
      <c r="M155" s="11"/>
      <c r="N155" s="11"/>
      <c r="O155" s="11"/>
      <c r="P155" s="11"/>
      <c r="Q155" s="11"/>
    </row>
    <row r="156" spans="1:17" ht="15.75" customHeight="1" x14ac:dyDescent="0.3">
      <c r="A156" s="11"/>
      <c r="B156" s="11"/>
      <c r="C156" s="11"/>
      <c r="D156" s="43"/>
      <c r="E156" s="11"/>
      <c r="F156" s="11"/>
      <c r="G156" s="11"/>
      <c r="H156" s="11"/>
      <c r="I156" s="11"/>
      <c r="J156" s="11"/>
      <c r="K156" s="11"/>
      <c r="L156" s="11"/>
      <c r="M156" s="11"/>
      <c r="N156" s="11"/>
      <c r="O156" s="11"/>
      <c r="P156" s="11"/>
      <c r="Q156" s="11"/>
    </row>
    <row r="157" spans="1:17" ht="15.75" customHeight="1" x14ac:dyDescent="0.3">
      <c r="A157" s="11"/>
      <c r="B157" s="11"/>
      <c r="C157" s="11"/>
      <c r="D157" s="43"/>
      <c r="E157" s="11"/>
      <c r="F157" s="11"/>
      <c r="G157" s="11"/>
      <c r="H157" s="11"/>
      <c r="I157" s="11"/>
      <c r="J157" s="11"/>
      <c r="K157" s="11"/>
      <c r="L157" s="11"/>
      <c r="M157" s="11"/>
      <c r="N157" s="11"/>
      <c r="O157" s="11"/>
      <c r="P157" s="11"/>
      <c r="Q157" s="11"/>
    </row>
    <row r="158" spans="1:17" ht="15.75" customHeight="1" x14ac:dyDescent="0.3">
      <c r="A158" s="11"/>
      <c r="B158" s="11"/>
      <c r="C158" s="11"/>
      <c r="D158" s="43"/>
      <c r="E158" s="11"/>
      <c r="F158" s="11"/>
      <c r="G158" s="11"/>
      <c r="H158" s="11"/>
      <c r="I158" s="11"/>
      <c r="J158" s="11"/>
      <c r="K158" s="11"/>
      <c r="L158" s="11"/>
      <c r="M158" s="11"/>
      <c r="N158" s="11"/>
      <c r="O158" s="11"/>
      <c r="P158" s="11"/>
      <c r="Q158" s="11"/>
    </row>
    <row r="159" spans="1:17" ht="15.75" customHeight="1" x14ac:dyDescent="0.3">
      <c r="A159" s="11"/>
      <c r="B159" s="11"/>
      <c r="C159" s="11"/>
      <c r="D159" s="43"/>
      <c r="E159" s="11"/>
      <c r="F159" s="11"/>
      <c r="G159" s="11"/>
      <c r="H159" s="11"/>
      <c r="I159" s="11"/>
      <c r="J159" s="11"/>
      <c r="K159" s="11"/>
      <c r="L159" s="11"/>
      <c r="M159" s="11"/>
      <c r="N159" s="11"/>
      <c r="O159" s="11"/>
      <c r="P159" s="11"/>
      <c r="Q159" s="11"/>
    </row>
    <row r="160" spans="1:17" ht="15.75" customHeight="1" x14ac:dyDescent="0.3">
      <c r="A160" s="11"/>
      <c r="B160" s="11"/>
      <c r="C160" s="11"/>
      <c r="D160" s="43"/>
      <c r="E160" s="11"/>
      <c r="F160" s="11"/>
      <c r="G160" s="11"/>
      <c r="H160" s="11"/>
      <c r="I160" s="11"/>
      <c r="J160" s="11"/>
      <c r="K160" s="11"/>
      <c r="L160" s="11"/>
      <c r="M160" s="11"/>
      <c r="N160" s="11"/>
      <c r="O160" s="11"/>
      <c r="P160" s="11"/>
      <c r="Q160" s="11"/>
    </row>
    <row r="161" spans="1:17" ht="15.75" customHeight="1" x14ac:dyDescent="0.3">
      <c r="A161" s="11"/>
      <c r="B161" s="11"/>
      <c r="C161" s="11"/>
      <c r="D161" s="43"/>
      <c r="E161" s="11"/>
      <c r="F161" s="11"/>
      <c r="G161" s="11"/>
      <c r="H161" s="11"/>
      <c r="I161" s="11"/>
      <c r="J161" s="11"/>
      <c r="K161" s="11"/>
      <c r="L161" s="11"/>
      <c r="M161" s="11"/>
      <c r="N161" s="11"/>
      <c r="O161" s="11"/>
      <c r="P161" s="11"/>
      <c r="Q161" s="11"/>
    </row>
    <row r="162" spans="1:17" ht="15.75" customHeight="1" x14ac:dyDescent="0.3">
      <c r="A162" s="11"/>
      <c r="B162" s="11"/>
      <c r="C162" s="11"/>
      <c r="D162" s="43"/>
      <c r="E162" s="11"/>
      <c r="F162" s="11"/>
      <c r="G162" s="11"/>
      <c r="H162" s="11"/>
      <c r="I162" s="11"/>
      <c r="J162" s="11"/>
      <c r="K162" s="11"/>
      <c r="L162" s="11"/>
      <c r="M162" s="11"/>
      <c r="N162" s="11"/>
      <c r="O162" s="11"/>
      <c r="P162" s="11"/>
      <c r="Q162" s="11"/>
    </row>
    <row r="163" spans="1:17" ht="15.75" customHeight="1" x14ac:dyDescent="0.3">
      <c r="A163" s="11"/>
      <c r="B163" s="11"/>
      <c r="C163" s="11"/>
      <c r="D163" s="43"/>
      <c r="E163" s="11"/>
      <c r="F163" s="11"/>
      <c r="G163" s="11"/>
      <c r="H163" s="11"/>
      <c r="I163" s="11"/>
      <c r="J163" s="11"/>
      <c r="K163" s="11"/>
      <c r="L163" s="11"/>
      <c r="M163" s="11"/>
      <c r="N163" s="11"/>
      <c r="O163" s="11"/>
      <c r="P163" s="11"/>
      <c r="Q163" s="11"/>
    </row>
    <row r="164" spans="1:17" ht="15.75" customHeight="1" x14ac:dyDescent="0.3">
      <c r="A164" s="11"/>
      <c r="B164" s="11"/>
      <c r="C164" s="11"/>
      <c r="D164" s="43"/>
      <c r="E164" s="11"/>
      <c r="F164" s="11"/>
      <c r="G164" s="11"/>
      <c r="H164" s="11"/>
      <c r="I164" s="11"/>
      <c r="J164" s="11"/>
      <c r="K164" s="11"/>
      <c r="L164" s="11"/>
      <c r="M164" s="11"/>
      <c r="N164" s="11"/>
      <c r="O164" s="11"/>
      <c r="P164" s="11"/>
      <c r="Q164" s="11"/>
    </row>
    <row r="165" spans="1:17" ht="15.75" customHeight="1" x14ac:dyDescent="0.3">
      <c r="A165" s="11"/>
      <c r="B165" s="11"/>
      <c r="C165" s="11"/>
      <c r="D165" s="43"/>
      <c r="E165" s="11"/>
      <c r="F165" s="11"/>
      <c r="G165" s="11"/>
      <c r="H165" s="11"/>
      <c r="I165" s="11"/>
      <c r="J165" s="11"/>
      <c r="K165" s="11"/>
      <c r="L165" s="11"/>
      <c r="M165" s="11"/>
      <c r="N165" s="11"/>
      <c r="O165" s="11"/>
      <c r="P165" s="11"/>
      <c r="Q165" s="11"/>
    </row>
    <row r="166" spans="1:17" ht="15.75" customHeight="1" x14ac:dyDescent="0.3">
      <c r="A166" s="11"/>
      <c r="B166" s="11"/>
      <c r="C166" s="11"/>
      <c r="D166" s="43"/>
      <c r="E166" s="11"/>
      <c r="F166" s="11"/>
      <c r="G166" s="11"/>
      <c r="H166" s="11"/>
      <c r="I166" s="11"/>
      <c r="J166" s="11"/>
      <c r="K166" s="11"/>
      <c r="L166" s="11"/>
      <c r="M166" s="11"/>
      <c r="N166" s="11"/>
      <c r="O166" s="11"/>
      <c r="P166" s="11"/>
      <c r="Q166" s="11"/>
    </row>
    <row r="167" spans="1:17" ht="15.75" customHeight="1" x14ac:dyDescent="0.3">
      <c r="A167" s="11"/>
      <c r="B167" s="11"/>
      <c r="C167" s="11"/>
      <c r="D167" s="43"/>
      <c r="E167" s="11"/>
      <c r="F167" s="11"/>
      <c r="G167" s="11"/>
      <c r="H167" s="11"/>
      <c r="I167" s="11"/>
      <c r="J167" s="11"/>
      <c r="K167" s="11"/>
      <c r="L167" s="11"/>
      <c r="M167" s="11"/>
      <c r="N167" s="11"/>
      <c r="O167" s="11"/>
      <c r="P167" s="11"/>
      <c r="Q167" s="11"/>
    </row>
    <row r="168" spans="1:17" ht="15.75" customHeight="1" x14ac:dyDescent="0.3">
      <c r="A168" s="11"/>
      <c r="B168" s="11"/>
      <c r="C168" s="11"/>
      <c r="D168" s="43"/>
      <c r="E168" s="11"/>
      <c r="F168" s="11"/>
      <c r="G168" s="11"/>
      <c r="H168" s="11"/>
      <c r="I168" s="11"/>
      <c r="J168" s="11"/>
      <c r="K168" s="11"/>
      <c r="L168" s="11"/>
      <c r="M168" s="11"/>
      <c r="N168" s="11"/>
      <c r="O168" s="11"/>
      <c r="P168" s="11"/>
      <c r="Q168" s="11"/>
    </row>
    <row r="169" spans="1:17" ht="15.75" customHeight="1" x14ac:dyDescent="0.3">
      <c r="A169" s="11"/>
      <c r="B169" s="11"/>
      <c r="C169" s="11"/>
      <c r="D169" s="43"/>
      <c r="E169" s="11"/>
      <c r="F169" s="11"/>
      <c r="G169" s="11"/>
      <c r="H169" s="11"/>
      <c r="I169" s="11"/>
      <c r="J169" s="11"/>
      <c r="K169" s="11"/>
      <c r="L169" s="11"/>
      <c r="M169" s="11"/>
      <c r="N169" s="11"/>
      <c r="O169" s="11"/>
      <c r="P169" s="11"/>
      <c r="Q169" s="11"/>
    </row>
    <row r="170" spans="1:17" ht="15.75" customHeight="1" x14ac:dyDescent="0.3">
      <c r="A170" s="11"/>
      <c r="B170" s="11"/>
      <c r="C170" s="11"/>
      <c r="D170" s="43"/>
      <c r="E170" s="11"/>
      <c r="F170" s="11"/>
      <c r="G170" s="11"/>
      <c r="H170" s="11"/>
      <c r="I170" s="11"/>
      <c r="J170" s="11"/>
      <c r="K170" s="11"/>
      <c r="L170" s="11"/>
      <c r="M170" s="11"/>
      <c r="N170" s="11"/>
      <c r="O170" s="11"/>
      <c r="P170" s="11"/>
      <c r="Q170" s="11"/>
    </row>
    <row r="171" spans="1:17" ht="15.75" customHeight="1" x14ac:dyDescent="0.3">
      <c r="A171" s="11"/>
      <c r="B171" s="11"/>
      <c r="C171" s="11"/>
      <c r="D171" s="43"/>
      <c r="E171" s="11"/>
      <c r="F171" s="11"/>
      <c r="G171" s="11"/>
      <c r="H171" s="11"/>
      <c r="I171" s="11"/>
      <c r="J171" s="11"/>
      <c r="K171" s="11"/>
      <c r="L171" s="11"/>
      <c r="M171" s="11"/>
      <c r="N171" s="11"/>
      <c r="O171" s="11"/>
      <c r="P171" s="11"/>
      <c r="Q171" s="11"/>
    </row>
    <row r="172" spans="1:17" ht="15.75" customHeight="1" x14ac:dyDescent="0.3">
      <c r="A172" s="11"/>
      <c r="B172" s="11"/>
      <c r="C172" s="11"/>
      <c r="D172" s="43"/>
      <c r="E172" s="11"/>
      <c r="F172" s="11"/>
      <c r="G172" s="11"/>
      <c r="H172" s="11"/>
      <c r="I172" s="11"/>
      <c r="J172" s="11"/>
      <c r="K172" s="11"/>
      <c r="L172" s="11"/>
      <c r="M172" s="11"/>
      <c r="N172" s="11"/>
      <c r="O172" s="11"/>
      <c r="P172" s="11"/>
      <c r="Q172" s="11"/>
    </row>
    <row r="173" spans="1:17" ht="15.75" customHeight="1" x14ac:dyDescent="0.3">
      <c r="A173" s="11"/>
      <c r="B173" s="11"/>
      <c r="C173" s="11"/>
      <c r="D173" s="43"/>
      <c r="E173" s="11"/>
      <c r="F173" s="11"/>
      <c r="G173" s="11"/>
      <c r="H173" s="11"/>
      <c r="I173" s="11"/>
      <c r="J173" s="11"/>
      <c r="K173" s="11"/>
      <c r="L173" s="11"/>
      <c r="M173" s="11"/>
      <c r="N173" s="11"/>
      <c r="O173" s="11"/>
      <c r="P173" s="11"/>
      <c r="Q173" s="11"/>
    </row>
    <row r="174" spans="1:17" ht="15.75" customHeight="1" x14ac:dyDescent="0.3">
      <c r="A174" s="11"/>
      <c r="B174" s="11"/>
      <c r="C174" s="11"/>
      <c r="D174" s="43"/>
      <c r="E174" s="11"/>
      <c r="F174" s="11"/>
      <c r="G174" s="11"/>
      <c r="H174" s="11"/>
      <c r="I174" s="11"/>
      <c r="J174" s="11"/>
      <c r="K174" s="11"/>
      <c r="L174" s="11"/>
      <c r="M174" s="11"/>
      <c r="N174" s="11"/>
      <c r="O174" s="11"/>
      <c r="P174" s="11"/>
      <c r="Q174" s="11"/>
    </row>
    <row r="175" spans="1:17" ht="15.75" customHeight="1" x14ac:dyDescent="0.3">
      <c r="A175" s="11"/>
      <c r="B175" s="11"/>
      <c r="C175" s="11"/>
      <c r="D175" s="43"/>
      <c r="E175" s="11"/>
      <c r="F175" s="11"/>
      <c r="G175" s="11"/>
      <c r="H175" s="11"/>
      <c r="I175" s="11"/>
      <c r="J175" s="11"/>
      <c r="K175" s="11"/>
      <c r="L175" s="11"/>
      <c r="M175" s="11"/>
      <c r="N175" s="11"/>
      <c r="O175" s="11"/>
      <c r="P175" s="11"/>
      <c r="Q175" s="11"/>
    </row>
    <row r="176" spans="1:17" ht="15.75" customHeight="1" x14ac:dyDescent="0.3">
      <c r="A176" s="11"/>
      <c r="B176" s="11"/>
      <c r="C176" s="11"/>
      <c r="D176" s="43"/>
      <c r="E176" s="11"/>
      <c r="F176" s="11"/>
      <c r="G176" s="11"/>
      <c r="H176" s="11"/>
      <c r="I176" s="11"/>
      <c r="J176" s="11"/>
      <c r="K176" s="11"/>
      <c r="L176" s="11"/>
      <c r="M176" s="11"/>
      <c r="N176" s="11"/>
      <c r="O176" s="11"/>
      <c r="P176" s="11"/>
      <c r="Q176" s="11"/>
    </row>
    <row r="177" spans="1:17" ht="15.75" customHeight="1" x14ac:dyDescent="0.3">
      <c r="A177" s="11"/>
      <c r="B177" s="11"/>
      <c r="C177" s="11"/>
      <c r="D177" s="43"/>
      <c r="E177" s="11"/>
      <c r="F177" s="11"/>
      <c r="G177" s="11"/>
      <c r="H177" s="11"/>
      <c r="I177" s="11"/>
      <c r="J177" s="11"/>
      <c r="K177" s="11"/>
      <c r="L177" s="11"/>
      <c r="M177" s="11"/>
      <c r="N177" s="11"/>
      <c r="O177" s="11"/>
      <c r="P177" s="11"/>
      <c r="Q177" s="11"/>
    </row>
    <row r="178" spans="1:17" ht="15.75" customHeight="1" x14ac:dyDescent="0.3">
      <c r="A178" s="11"/>
      <c r="B178" s="11"/>
      <c r="C178" s="11"/>
      <c r="D178" s="43"/>
      <c r="E178" s="11"/>
      <c r="F178" s="11"/>
      <c r="G178" s="11"/>
      <c r="H178" s="11"/>
      <c r="I178" s="11"/>
      <c r="J178" s="11"/>
      <c r="K178" s="11"/>
      <c r="L178" s="11"/>
      <c r="M178" s="11"/>
      <c r="N178" s="11"/>
      <c r="O178" s="11"/>
      <c r="P178" s="11"/>
      <c r="Q178" s="11"/>
    </row>
    <row r="179" spans="1:17" ht="15.75" customHeight="1" x14ac:dyDescent="0.3">
      <c r="A179" s="11"/>
      <c r="B179" s="11"/>
      <c r="C179" s="11"/>
      <c r="D179" s="43"/>
      <c r="E179" s="11"/>
      <c r="F179" s="11"/>
      <c r="G179" s="11"/>
      <c r="H179" s="11"/>
      <c r="I179" s="11"/>
      <c r="J179" s="11"/>
      <c r="K179" s="11"/>
      <c r="L179" s="11"/>
      <c r="M179" s="11"/>
      <c r="N179" s="11"/>
      <c r="O179" s="11"/>
      <c r="P179" s="11"/>
      <c r="Q179" s="11"/>
    </row>
    <row r="180" spans="1:17" ht="15.75" customHeight="1" x14ac:dyDescent="0.3">
      <c r="A180" s="11"/>
      <c r="B180" s="11"/>
      <c r="C180" s="11"/>
      <c r="D180" s="43"/>
      <c r="E180" s="11"/>
      <c r="F180" s="11"/>
      <c r="G180" s="11"/>
      <c r="H180" s="11"/>
      <c r="I180" s="11"/>
      <c r="J180" s="11"/>
      <c r="K180" s="11"/>
      <c r="L180" s="11"/>
      <c r="M180" s="11"/>
      <c r="N180" s="11"/>
      <c r="O180" s="11"/>
      <c r="P180" s="11"/>
      <c r="Q180" s="11"/>
    </row>
    <row r="181" spans="1:17" ht="15.75" customHeight="1" x14ac:dyDescent="0.3">
      <c r="A181" s="11"/>
      <c r="B181" s="11"/>
      <c r="C181" s="11"/>
      <c r="D181" s="43"/>
      <c r="E181" s="11"/>
      <c r="F181" s="11"/>
      <c r="G181" s="11"/>
      <c r="H181" s="11"/>
      <c r="I181" s="11"/>
      <c r="J181" s="11"/>
      <c r="K181" s="11"/>
      <c r="L181" s="11"/>
      <c r="M181" s="11"/>
      <c r="N181" s="11"/>
      <c r="O181" s="11"/>
      <c r="P181" s="11"/>
      <c r="Q181" s="11"/>
    </row>
    <row r="182" spans="1:17" ht="15.75" customHeight="1" x14ac:dyDescent="0.3">
      <c r="A182" s="11"/>
      <c r="B182" s="11"/>
      <c r="C182" s="11"/>
      <c r="D182" s="43"/>
      <c r="E182" s="11"/>
      <c r="F182" s="11"/>
      <c r="G182" s="11"/>
      <c r="H182" s="11"/>
      <c r="I182" s="11"/>
      <c r="J182" s="11"/>
      <c r="K182" s="11"/>
      <c r="L182" s="11"/>
      <c r="M182" s="11"/>
      <c r="N182" s="11"/>
      <c r="O182" s="11"/>
      <c r="P182" s="11"/>
      <c r="Q182" s="11"/>
    </row>
    <row r="183" spans="1:17" ht="15.75" customHeight="1" x14ac:dyDescent="0.3">
      <c r="A183" s="11"/>
      <c r="B183" s="11"/>
      <c r="C183" s="11"/>
      <c r="D183" s="43"/>
      <c r="E183" s="11"/>
      <c r="F183" s="11"/>
      <c r="G183" s="11"/>
      <c r="H183" s="11"/>
      <c r="I183" s="11"/>
      <c r="J183" s="11"/>
      <c r="K183" s="11"/>
      <c r="L183" s="11"/>
      <c r="M183" s="11"/>
      <c r="N183" s="11"/>
      <c r="O183" s="11"/>
      <c r="P183" s="11"/>
      <c r="Q183" s="11"/>
    </row>
    <row r="184" spans="1:17" ht="15.75" customHeight="1" x14ac:dyDescent="0.3">
      <c r="A184" s="11"/>
      <c r="B184" s="11"/>
      <c r="C184" s="11"/>
      <c r="D184" s="43"/>
      <c r="E184" s="11"/>
      <c r="F184" s="11"/>
      <c r="G184" s="11"/>
      <c r="H184" s="11"/>
      <c r="I184" s="11"/>
      <c r="J184" s="11"/>
      <c r="K184" s="11"/>
      <c r="L184" s="11"/>
      <c r="M184" s="11"/>
      <c r="N184" s="11"/>
      <c r="O184" s="11"/>
      <c r="P184" s="11"/>
      <c r="Q184" s="11"/>
    </row>
    <row r="185" spans="1:17" ht="15.75" customHeight="1" x14ac:dyDescent="0.3">
      <c r="A185" s="11"/>
      <c r="B185" s="11"/>
      <c r="C185" s="11"/>
      <c r="D185" s="43"/>
      <c r="E185" s="11"/>
      <c r="F185" s="11"/>
      <c r="G185" s="11"/>
      <c r="H185" s="11"/>
      <c r="I185" s="11"/>
      <c r="J185" s="11"/>
      <c r="K185" s="11"/>
      <c r="L185" s="11"/>
      <c r="M185" s="11"/>
      <c r="N185" s="11"/>
      <c r="O185" s="11"/>
      <c r="P185" s="11"/>
      <c r="Q185" s="11"/>
    </row>
    <row r="186" spans="1:17" ht="15.75" customHeight="1" x14ac:dyDescent="0.3">
      <c r="A186" s="11"/>
      <c r="B186" s="11"/>
      <c r="C186" s="11"/>
      <c r="D186" s="43"/>
      <c r="E186" s="11"/>
      <c r="F186" s="11"/>
      <c r="G186" s="11"/>
      <c r="H186" s="11"/>
      <c r="I186" s="11"/>
      <c r="J186" s="11"/>
      <c r="K186" s="11"/>
      <c r="L186" s="11"/>
      <c r="M186" s="11"/>
      <c r="N186" s="11"/>
      <c r="O186" s="11"/>
      <c r="P186" s="11"/>
      <c r="Q186" s="11"/>
    </row>
    <row r="187" spans="1:17" ht="15.75" customHeight="1" x14ac:dyDescent="0.3">
      <c r="A187" s="11"/>
      <c r="B187" s="11"/>
      <c r="C187" s="11"/>
      <c r="D187" s="43"/>
      <c r="E187" s="11"/>
      <c r="F187" s="11"/>
      <c r="G187" s="11"/>
      <c r="H187" s="11"/>
      <c r="I187" s="11"/>
      <c r="J187" s="11"/>
      <c r="K187" s="11"/>
      <c r="L187" s="11"/>
      <c r="M187" s="11"/>
      <c r="N187" s="11"/>
      <c r="O187" s="11"/>
      <c r="P187" s="11"/>
      <c r="Q187" s="11"/>
    </row>
    <row r="188" spans="1:17" ht="15.75" customHeight="1" x14ac:dyDescent="0.3">
      <c r="A188" s="11"/>
      <c r="B188" s="11"/>
      <c r="C188" s="11"/>
      <c r="D188" s="43"/>
      <c r="E188" s="11"/>
      <c r="F188" s="11"/>
      <c r="G188" s="11"/>
      <c r="H188" s="11"/>
      <c r="I188" s="11"/>
      <c r="J188" s="11"/>
      <c r="K188" s="11"/>
      <c r="L188" s="11"/>
      <c r="M188" s="11"/>
      <c r="N188" s="11"/>
      <c r="O188" s="11"/>
      <c r="P188" s="11"/>
      <c r="Q188" s="11"/>
    </row>
    <row r="189" spans="1:17" ht="15.75" customHeight="1" x14ac:dyDescent="0.3">
      <c r="A189" s="11"/>
      <c r="B189" s="11"/>
      <c r="C189" s="11"/>
      <c r="D189" s="43"/>
      <c r="E189" s="11"/>
      <c r="F189" s="11"/>
      <c r="G189" s="11"/>
      <c r="H189" s="11"/>
      <c r="I189" s="11"/>
      <c r="J189" s="11"/>
      <c r="K189" s="11"/>
      <c r="L189" s="11"/>
      <c r="M189" s="11"/>
      <c r="N189" s="11"/>
      <c r="O189" s="11"/>
      <c r="P189" s="11"/>
      <c r="Q189" s="11"/>
    </row>
    <row r="190" spans="1:17" ht="15.75" customHeight="1" x14ac:dyDescent="0.3">
      <c r="A190" s="11"/>
      <c r="B190" s="11"/>
      <c r="C190" s="11"/>
      <c r="D190" s="43"/>
      <c r="E190" s="11"/>
      <c r="F190" s="11"/>
      <c r="G190" s="11"/>
      <c r="H190" s="11"/>
      <c r="I190" s="11"/>
      <c r="J190" s="11"/>
      <c r="K190" s="11"/>
      <c r="L190" s="11"/>
      <c r="M190" s="11"/>
      <c r="N190" s="11"/>
      <c r="O190" s="11"/>
      <c r="P190" s="11"/>
      <c r="Q190" s="11"/>
    </row>
    <row r="191" spans="1:17" ht="15.75" customHeight="1" x14ac:dyDescent="0.3">
      <c r="A191" s="11"/>
      <c r="B191" s="11"/>
      <c r="C191" s="11"/>
      <c r="D191" s="43"/>
      <c r="E191" s="11"/>
      <c r="F191" s="11"/>
      <c r="G191" s="11"/>
      <c r="H191" s="11"/>
      <c r="I191" s="11"/>
      <c r="J191" s="11"/>
      <c r="K191" s="11"/>
      <c r="L191" s="11"/>
      <c r="M191" s="11"/>
      <c r="N191" s="11"/>
      <c r="O191" s="11"/>
      <c r="P191" s="11"/>
      <c r="Q191" s="11"/>
    </row>
    <row r="192" spans="1:17" ht="15.75" customHeight="1" x14ac:dyDescent="0.3">
      <c r="A192" s="11"/>
      <c r="B192" s="11"/>
      <c r="C192" s="11"/>
      <c r="D192" s="43"/>
      <c r="E192" s="11"/>
      <c r="F192" s="11"/>
      <c r="G192" s="11"/>
      <c r="H192" s="11"/>
      <c r="I192" s="11"/>
      <c r="J192" s="11"/>
      <c r="K192" s="11"/>
      <c r="L192" s="11"/>
      <c r="M192" s="11"/>
      <c r="N192" s="11"/>
      <c r="O192" s="11"/>
      <c r="P192" s="11"/>
      <c r="Q192" s="11"/>
    </row>
    <row r="193" spans="1:17" ht="15.75" customHeight="1" x14ac:dyDescent="0.3">
      <c r="A193" s="11"/>
      <c r="B193" s="11"/>
      <c r="C193" s="11"/>
      <c r="D193" s="43"/>
      <c r="E193" s="11"/>
      <c r="F193" s="11"/>
      <c r="G193" s="11"/>
      <c r="H193" s="11"/>
      <c r="I193" s="11"/>
      <c r="J193" s="11"/>
      <c r="K193" s="11"/>
      <c r="L193" s="11"/>
      <c r="M193" s="11"/>
      <c r="N193" s="11"/>
      <c r="O193" s="11"/>
      <c r="P193" s="11"/>
      <c r="Q193" s="11"/>
    </row>
    <row r="194" spans="1:17" ht="15.75" customHeight="1" x14ac:dyDescent="0.3">
      <c r="A194" s="11"/>
      <c r="B194" s="11"/>
      <c r="C194" s="11"/>
      <c r="D194" s="43"/>
      <c r="E194" s="11"/>
      <c r="F194" s="11"/>
      <c r="G194" s="11"/>
      <c r="H194" s="11"/>
      <c r="I194" s="11"/>
      <c r="J194" s="11"/>
      <c r="K194" s="11"/>
      <c r="L194" s="11"/>
      <c r="M194" s="11"/>
      <c r="N194" s="11"/>
      <c r="O194" s="11"/>
      <c r="P194" s="11"/>
      <c r="Q194" s="11"/>
    </row>
    <row r="195" spans="1:17" ht="15.75" customHeight="1" x14ac:dyDescent="0.3">
      <c r="A195" s="11"/>
      <c r="B195" s="11"/>
      <c r="C195" s="11"/>
      <c r="D195" s="43"/>
      <c r="E195" s="11"/>
      <c r="F195" s="11"/>
      <c r="G195" s="11"/>
      <c r="H195" s="11"/>
      <c r="I195" s="11"/>
      <c r="J195" s="11"/>
      <c r="K195" s="11"/>
      <c r="L195" s="11"/>
      <c r="M195" s="11"/>
      <c r="N195" s="11"/>
      <c r="O195" s="11"/>
      <c r="P195" s="11"/>
      <c r="Q195" s="11"/>
    </row>
    <row r="196" spans="1:17" ht="15.75" customHeight="1" x14ac:dyDescent="0.3">
      <c r="A196" s="11"/>
      <c r="B196" s="11"/>
      <c r="C196" s="11"/>
      <c r="D196" s="43"/>
      <c r="E196" s="11"/>
      <c r="F196" s="11"/>
      <c r="G196" s="11"/>
      <c r="H196" s="11"/>
      <c r="I196" s="11"/>
      <c r="J196" s="11"/>
      <c r="K196" s="11"/>
      <c r="L196" s="11"/>
      <c r="M196" s="11"/>
      <c r="N196" s="11"/>
      <c r="O196" s="11"/>
      <c r="P196" s="11"/>
      <c r="Q196" s="11"/>
    </row>
    <row r="197" spans="1:17" ht="15.75" customHeight="1" x14ac:dyDescent="0.3">
      <c r="A197" s="11"/>
      <c r="B197" s="11"/>
      <c r="C197" s="11"/>
      <c r="D197" s="43"/>
      <c r="E197" s="11"/>
      <c r="F197" s="11"/>
      <c r="G197" s="11"/>
      <c r="H197" s="11"/>
      <c r="I197" s="11"/>
      <c r="J197" s="11"/>
      <c r="K197" s="11"/>
      <c r="L197" s="11"/>
      <c r="M197" s="11"/>
      <c r="N197" s="11"/>
      <c r="O197" s="11"/>
      <c r="P197" s="11"/>
      <c r="Q197" s="11"/>
    </row>
    <row r="198" spans="1:17" ht="15.75" customHeight="1" x14ac:dyDescent="0.3">
      <c r="A198" s="11"/>
      <c r="B198" s="11"/>
      <c r="C198" s="11"/>
      <c r="D198" s="43"/>
      <c r="E198" s="11"/>
      <c r="F198" s="11"/>
      <c r="G198" s="11"/>
      <c r="H198" s="11"/>
      <c r="I198" s="11"/>
      <c r="J198" s="11"/>
      <c r="K198" s="11"/>
      <c r="L198" s="11"/>
      <c r="M198" s="11"/>
      <c r="N198" s="11"/>
      <c r="O198" s="11"/>
      <c r="P198" s="11"/>
      <c r="Q198" s="11"/>
    </row>
    <row r="199" spans="1:17" ht="15.75" customHeight="1" x14ac:dyDescent="0.3">
      <c r="A199" s="11"/>
      <c r="B199" s="11"/>
      <c r="C199" s="11"/>
      <c r="D199" s="43"/>
      <c r="E199" s="11"/>
      <c r="F199" s="11"/>
      <c r="G199" s="11"/>
      <c r="H199" s="11"/>
      <c r="I199" s="11"/>
      <c r="J199" s="11"/>
      <c r="K199" s="11"/>
      <c r="L199" s="11"/>
      <c r="M199" s="11"/>
      <c r="N199" s="11"/>
      <c r="O199" s="11"/>
      <c r="P199" s="11"/>
      <c r="Q199" s="11"/>
    </row>
    <row r="200" spans="1:17" ht="15.75" customHeight="1" x14ac:dyDescent="0.3">
      <c r="A200" s="11"/>
      <c r="B200" s="11"/>
      <c r="C200" s="11"/>
      <c r="D200" s="43"/>
      <c r="E200" s="11"/>
      <c r="F200" s="11"/>
      <c r="G200" s="11"/>
      <c r="H200" s="11"/>
      <c r="I200" s="11"/>
      <c r="J200" s="11"/>
      <c r="K200" s="11"/>
      <c r="L200" s="11"/>
      <c r="M200" s="11"/>
      <c r="N200" s="11"/>
      <c r="O200" s="11"/>
      <c r="P200" s="11"/>
      <c r="Q200" s="11"/>
    </row>
    <row r="201" spans="1:17" ht="15.75" customHeight="1" x14ac:dyDescent="0.3">
      <c r="A201" s="11"/>
      <c r="B201" s="11"/>
      <c r="C201" s="11"/>
      <c r="D201" s="43"/>
      <c r="E201" s="11"/>
      <c r="F201" s="11"/>
      <c r="G201" s="11"/>
      <c r="H201" s="11"/>
      <c r="I201" s="11"/>
      <c r="J201" s="11"/>
      <c r="K201" s="11"/>
      <c r="L201" s="11"/>
      <c r="M201" s="11"/>
      <c r="N201" s="11"/>
      <c r="O201" s="11"/>
      <c r="P201" s="11"/>
      <c r="Q201" s="11"/>
    </row>
    <row r="202" spans="1:17" ht="15.75" customHeight="1" x14ac:dyDescent="0.3">
      <c r="A202" s="11"/>
      <c r="B202" s="11"/>
      <c r="C202" s="11"/>
      <c r="D202" s="43"/>
      <c r="E202" s="11"/>
      <c r="F202" s="11"/>
      <c r="G202" s="11"/>
      <c r="H202" s="11"/>
      <c r="I202" s="11"/>
      <c r="J202" s="11"/>
      <c r="K202" s="11"/>
      <c r="L202" s="11"/>
      <c r="M202" s="11"/>
      <c r="N202" s="11"/>
      <c r="O202" s="11"/>
      <c r="P202" s="11"/>
      <c r="Q202" s="11"/>
    </row>
    <row r="203" spans="1:17" ht="15.75" customHeight="1" x14ac:dyDescent="0.3">
      <c r="A203" s="11"/>
      <c r="B203" s="11"/>
      <c r="C203" s="11"/>
      <c r="D203" s="43"/>
      <c r="E203" s="11"/>
      <c r="F203" s="11"/>
      <c r="G203" s="11"/>
      <c r="H203" s="11"/>
      <c r="I203" s="11"/>
      <c r="J203" s="11"/>
      <c r="K203" s="11"/>
      <c r="L203" s="11"/>
      <c r="M203" s="11"/>
      <c r="N203" s="11"/>
      <c r="O203" s="11"/>
      <c r="P203" s="11"/>
      <c r="Q203" s="11"/>
    </row>
    <row r="204" spans="1:17" ht="15.75" customHeight="1" x14ac:dyDescent="0.3">
      <c r="A204" s="11"/>
      <c r="B204" s="11"/>
      <c r="C204" s="11"/>
      <c r="D204" s="43"/>
      <c r="E204" s="11"/>
      <c r="F204" s="11"/>
      <c r="G204" s="11"/>
      <c r="H204" s="11"/>
      <c r="I204" s="11"/>
      <c r="J204" s="11"/>
      <c r="K204" s="11"/>
      <c r="L204" s="11"/>
      <c r="M204" s="11"/>
      <c r="N204" s="11"/>
      <c r="O204" s="11"/>
      <c r="P204" s="11"/>
      <c r="Q204" s="11"/>
    </row>
    <row r="205" spans="1:17" ht="15.75" customHeight="1" x14ac:dyDescent="0.3">
      <c r="A205" s="11"/>
      <c r="B205" s="11"/>
      <c r="C205" s="11"/>
      <c r="D205" s="43"/>
      <c r="E205" s="11"/>
      <c r="F205" s="11"/>
      <c r="G205" s="11"/>
      <c r="H205" s="11"/>
      <c r="I205" s="11"/>
      <c r="J205" s="11"/>
      <c r="K205" s="11"/>
      <c r="L205" s="11"/>
      <c r="M205" s="11"/>
      <c r="N205" s="11"/>
      <c r="O205" s="11"/>
      <c r="P205" s="11"/>
      <c r="Q205" s="11"/>
    </row>
    <row r="206" spans="1:17" ht="15.75" customHeight="1" x14ac:dyDescent="0.3">
      <c r="A206" s="11"/>
      <c r="B206" s="11"/>
      <c r="C206" s="11"/>
      <c r="D206" s="43"/>
      <c r="E206" s="11"/>
      <c r="F206" s="11"/>
      <c r="G206" s="11"/>
      <c r="H206" s="11"/>
      <c r="I206" s="11"/>
      <c r="J206" s="11"/>
      <c r="K206" s="11"/>
      <c r="L206" s="11"/>
      <c r="M206" s="11"/>
      <c r="N206" s="11"/>
      <c r="O206" s="11"/>
      <c r="P206" s="11"/>
      <c r="Q206" s="11"/>
    </row>
    <row r="207" spans="1:17" ht="15.75" customHeight="1" x14ac:dyDescent="0.3">
      <c r="A207" s="11"/>
      <c r="B207" s="11"/>
      <c r="C207" s="11"/>
      <c r="D207" s="43"/>
      <c r="E207" s="11"/>
      <c r="F207" s="11"/>
      <c r="G207" s="11"/>
      <c r="H207" s="11"/>
      <c r="I207" s="11"/>
      <c r="J207" s="11"/>
      <c r="K207" s="11"/>
      <c r="L207" s="11"/>
      <c r="M207" s="11"/>
      <c r="N207" s="11"/>
      <c r="O207" s="11"/>
      <c r="P207" s="11"/>
      <c r="Q207" s="11"/>
    </row>
    <row r="208" spans="1:17" ht="15.75" customHeight="1" x14ac:dyDescent="0.3">
      <c r="A208" s="11"/>
      <c r="B208" s="11"/>
      <c r="C208" s="11"/>
      <c r="D208" s="43"/>
      <c r="E208" s="11"/>
      <c r="F208" s="11"/>
      <c r="G208" s="11"/>
      <c r="H208" s="11"/>
      <c r="I208" s="11"/>
      <c r="J208" s="11"/>
      <c r="K208" s="11"/>
      <c r="L208" s="11"/>
      <c r="M208" s="11"/>
      <c r="N208" s="11"/>
      <c r="O208" s="11"/>
      <c r="P208" s="11"/>
      <c r="Q208" s="11"/>
    </row>
    <row r="209" spans="1:17" ht="15.75" customHeight="1" x14ac:dyDescent="0.3">
      <c r="A209" s="11"/>
      <c r="B209" s="11"/>
      <c r="C209" s="11"/>
      <c r="D209" s="43"/>
      <c r="E209" s="11"/>
      <c r="F209" s="11"/>
      <c r="G209" s="11"/>
      <c r="H209" s="11"/>
      <c r="I209" s="11"/>
      <c r="J209" s="11"/>
      <c r="K209" s="11"/>
      <c r="L209" s="11"/>
      <c r="M209" s="11"/>
      <c r="N209" s="11"/>
      <c r="O209" s="11"/>
      <c r="P209" s="11"/>
      <c r="Q209" s="11"/>
    </row>
    <row r="210" spans="1:17" ht="15.75" customHeight="1" x14ac:dyDescent="0.3">
      <c r="A210" s="11"/>
      <c r="B210" s="11"/>
      <c r="C210" s="11"/>
      <c r="D210" s="43"/>
      <c r="E210" s="11"/>
      <c r="F210" s="11"/>
      <c r="G210" s="11"/>
      <c r="H210" s="11"/>
      <c r="I210" s="11"/>
      <c r="J210" s="11"/>
      <c r="K210" s="11"/>
      <c r="L210" s="11"/>
      <c r="M210" s="11"/>
      <c r="N210" s="11"/>
      <c r="O210" s="11"/>
      <c r="P210" s="11"/>
      <c r="Q210" s="11"/>
    </row>
    <row r="211" spans="1:17" ht="15.75" customHeight="1" x14ac:dyDescent="0.3">
      <c r="A211" s="11"/>
      <c r="B211" s="11"/>
      <c r="C211" s="11"/>
      <c r="D211" s="43"/>
      <c r="E211" s="11"/>
      <c r="F211" s="11"/>
      <c r="G211" s="11"/>
      <c r="H211" s="11"/>
      <c r="I211" s="11"/>
      <c r="J211" s="11"/>
      <c r="K211" s="11"/>
      <c r="L211" s="11"/>
      <c r="M211" s="11"/>
      <c r="N211" s="11"/>
      <c r="O211" s="11"/>
      <c r="P211" s="11"/>
      <c r="Q211" s="11"/>
    </row>
    <row r="212" spans="1:17" ht="15.75" customHeight="1" x14ac:dyDescent="0.3">
      <c r="A212" s="11"/>
      <c r="B212" s="11"/>
      <c r="C212" s="11"/>
      <c r="D212" s="43"/>
      <c r="E212" s="11"/>
      <c r="F212" s="11"/>
      <c r="G212" s="11"/>
      <c r="H212" s="11"/>
      <c r="I212" s="11"/>
      <c r="J212" s="11"/>
      <c r="K212" s="11"/>
      <c r="L212" s="11"/>
      <c r="M212" s="11"/>
      <c r="N212" s="11"/>
      <c r="O212" s="11"/>
      <c r="P212" s="11"/>
      <c r="Q212" s="11"/>
    </row>
    <row r="213" spans="1:17" ht="15.75" customHeight="1" x14ac:dyDescent="0.3">
      <c r="A213" s="11"/>
      <c r="B213" s="11"/>
      <c r="C213" s="11"/>
      <c r="D213" s="43"/>
      <c r="E213" s="11"/>
      <c r="F213" s="11"/>
      <c r="G213" s="11"/>
      <c r="H213" s="11"/>
      <c r="I213" s="11"/>
      <c r="J213" s="11"/>
      <c r="K213" s="11"/>
      <c r="L213" s="11"/>
      <c r="M213" s="11"/>
      <c r="N213" s="11"/>
      <c r="O213" s="11"/>
      <c r="P213" s="11"/>
      <c r="Q213" s="11"/>
    </row>
    <row r="214" spans="1:17" ht="15.75" customHeight="1" x14ac:dyDescent="0.3">
      <c r="A214" s="11"/>
      <c r="B214" s="11"/>
      <c r="C214" s="11"/>
      <c r="D214" s="43"/>
      <c r="E214" s="11"/>
      <c r="F214" s="11"/>
      <c r="G214" s="11"/>
      <c r="H214" s="11"/>
      <c r="I214" s="11"/>
      <c r="J214" s="11"/>
      <c r="K214" s="11"/>
      <c r="L214" s="11"/>
      <c r="M214" s="11"/>
      <c r="N214" s="11"/>
      <c r="O214" s="11"/>
      <c r="P214" s="11"/>
      <c r="Q214" s="11"/>
    </row>
    <row r="215" spans="1:17" ht="15.75" customHeight="1" x14ac:dyDescent="0.3">
      <c r="A215" s="11"/>
      <c r="B215" s="11"/>
      <c r="C215" s="11"/>
      <c r="D215" s="43"/>
      <c r="E215" s="11"/>
      <c r="F215" s="11"/>
      <c r="G215" s="11"/>
      <c r="H215" s="11"/>
      <c r="I215" s="11"/>
      <c r="J215" s="11"/>
      <c r="K215" s="11"/>
      <c r="L215" s="11"/>
      <c r="M215" s="11"/>
      <c r="N215" s="11"/>
      <c r="O215" s="11"/>
      <c r="P215" s="11"/>
      <c r="Q215" s="11"/>
    </row>
    <row r="216" spans="1:17" ht="15.75" customHeight="1" x14ac:dyDescent="0.3">
      <c r="A216" s="11"/>
      <c r="B216" s="11"/>
      <c r="C216" s="11"/>
      <c r="D216" s="43"/>
      <c r="E216" s="11"/>
      <c r="F216" s="11"/>
      <c r="G216" s="11"/>
      <c r="H216" s="11"/>
      <c r="I216" s="11"/>
      <c r="J216" s="11"/>
      <c r="K216" s="11"/>
      <c r="L216" s="11"/>
      <c r="M216" s="11"/>
      <c r="N216" s="11"/>
      <c r="O216" s="11"/>
      <c r="P216" s="11"/>
      <c r="Q216" s="11"/>
    </row>
    <row r="217" spans="1:17" ht="15.75" customHeight="1" x14ac:dyDescent="0.3">
      <c r="A217" s="11"/>
      <c r="B217" s="11"/>
      <c r="C217" s="11"/>
      <c r="D217" s="43"/>
      <c r="E217" s="11"/>
      <c r="F217" s="11"/>
      <c r="G217" s="11"/>
      <c r="H217" s="11"/>
      <c r="I217" s="11"/>
      <c r="J217" s="11"/>
      <c r="K217" s="11"/>
      <c r="L217" s="11"/>
      <c r="M217" s="11"/>
      <c r="N217" s="11"/>
      <c r="O217" s="11"/>
      <c r="P217" s="11"/>
      <c r="Q217" s="11"/>
    </row>
    <row r="218" spans="1:17" ht="15.75" customHeight="1" x14ac:dyDescent="0.3">
      <c r="A218" s="11"/>
      <c r="B218" s="11"/>
      <c r="C218" s="11"/>
      <c r="D218" s="43"/>
      <c r="E218" s="11"/>
      <c r="F218" s="11"/>
      <c r="G218" s="11"/>
      <c r="H218" s="11"/>
      <c r="I218" s="11"/>
      <c r="J218" s="11"/>
      <c r="K218" s="11"/>
      <c r="L218" s="11"/>
      <c r="M218" s="11"/>
      <c r="N218" s="11"/>
      <c r="O218" s="11"/>
      <c r="P218" s="11"/>
      <c r="Q218" s="11"/>
    </row>
    <row r="219" spans="1:17" ht="15.75" customHeight="1" x14ac:dyDescent="0.3">
      <c r="A219" s="11"/>
      <c r="B219" s="11"/>
      <c r="C219" s="11"/>
      <c r="D219" s="43"/>
      <c r="E219" s="11"/>
      <c r="F219" s="11"/>
      <c r="G219" s="11"/>
      <c r="H219" s="11"/>
      <c r="I219" s="11"/>
      <c r="J219" s="11"/>
      <c r="K219" s="11"/>
      <c r="L219" s="11"/>
      <c r="M219" s="11"/>
      <c r="N219" s="11"/>
      <c r="O219" s="11"/>
      <c r="P219" s="11"/>
      <c r="Q219" s="11"/>
    </row>
    <row r="220" spans="1:17" ht="15.75" customHeight="1" x14ac:dyDescent="0.3">
      <c r="A220" s="11"/>
      <c r="B220" s="11"/>
      <c r="C220" s="11"/>
      <c r="D220" s="43"/>
      <c r="E220" s="11"/>
      <c r="F220" s="11"/>
      <c r="G220" s="11"/>
      <c r="H220" s="11"/>
      <c r="I220" s="11"/>
      <c r="J220" s="11"/>
      <c r="K220" s="11"/>
      <c r="L220" s="11"/>
      <c r="M220" s="11"/>
      <c r="N220" s="11"/>
      <c r="O220" s="11"/>
      <c r="P220" s="11"/>
      <c r="Q220" s="11"/>
    </row>
    <row r="221" spans="1:17" ht="15.75" customHeight="1" x14ac:dyDescent="0.3">
      <c r="A221" s="11"/>
      <c r="B221" s="11"/>
      <c r="C221" s="11"/>
      <c r="D221" s="43"/>
      <c r="E221" s="11"/>
      <c r="F221" s="11"/>
      <c r="G221" s="11"/>
      <c r="H221" s="11"/>
      <c r="I221" s="11"/>
      <c r="J221" s="11"/>
      <c r="K221" s="11"/>
      <c r="L221" s="11"/>
      <c r="M221" s="11"/>
      <c r="N221" s="11"/>
      <c r="O221" s="11"/>
      <c r="P221" s="11"/>
      <c r="Q221" s="11"/>
    </row>
    <row r="222" spans="1:17" ht="15.75" customHeight="1" x14ac:dyDescent="0.3">
      <c r="A222" s="11"/>
      <c r="B222" s="11"/>
      <c r="C222" s="11"/>
      <c r="D222" s="43"/>
      <c r="E222" s="11"/>
      <c r="F222" s="11"/>
      <c r="G222" s="11"/>
      <c r="H222" s="11"/>
      <c r="I222" s="11"/>
      <c r="J222" s="11"/>
      <c r="K222" s="11"/>
      <c r="L222" s="11"/>
      <c r="M222" s="11"/>
      <c r="N222" s="11"/>
      <c r="O222" s="11"/>
      <c r="P222" s="11"/>
      <c r="Q222" s="11"/>
    </row>
    <row r="223" spans="1:17" ht="15.75" customHeight="1" x14ac:dyDescent="0.3">
      <c r="A223" s="11"/>
      <c r="B223" s="11"/>
      <c r="C223" s="11"/>
      <c r="D223" s="43"/>
      <c r="E223" s="11"/>
      <c r="F223" s="11"/>
      <c r="G223" s="11"/>
      <c r="H223" s="11"/>
      <c r="I223" s="11"/>
      <c r="J223" s="11"/>
      <c r="K223" s="11"/>
      <c r="L223" s="11"/>
      <c r="M223" s="11"/>
      <c r="N223" s="11"/>
      <c r="O223" s="11"/>
      <c r="P223" s="11"/>
      <c r="Q223" s="11"/>
    </row>
    <row r="224" spans="1:17" ht="15.75" customHeight="1" x14ac:dyDescent="0.3">
      <c r="A224" s="11"/>
      <c r="B224" s="11"/>
      <c r="C224" s="11"/>
      <c r="D224" s="43"/>
      <c r="E224" s="11"/>
      <c r="F224" s="11"/>
      <c r="G224" s="11"/>
      <c r="H224" s="11"/>
      <c r="I224" s="11"/>
      <c r="J224" s="11"/>
      <c r="K224" s="11"/>
      <c r="L224" s="11"/>
      <c r="M224" s="11"/>
      <c r="N224" s="11"/>
      <c r="O224" s="11"/>
      <c r="P224" s="11"/>
      <c r="Q224" s="11"/>
    </row>
    <row r="225" spans="1:17" ht="15.75" customHeight="1" x14ac:dyDescent="0.3">
      <c r="A225" s="11"/>
      <c r="B225" s="11"/>
      <c r="C225" s="11"/>
      <c r="D225" s="43"/>
      <c r="E225" s="11"/>
      <c r="F225" s="11"/>
      <c r="G225" s="11"/>
      <c r="H225" s="11"/>
      <c r="I225" s="11"/>
      <c r="J225" s="11"/>
      <c r="K225" s="11"/>
      <c r="L225" s="11"/>
      <c r="M225" s="11"/>
      <c r="N225" s="11"/>
      <c r="O225" s="11"/>
      <c r="P225" s="11"/>
      <c r="Q225" s="11"/>
    </row>
    <row r="226" spans="1:17" ht="15.75" customHeight="1" x14ac:dyDescent="0.3">
      <c r="A226" s="11"/>
      <c r="B226" s="11"/>
      <c r="C226" s="11"/>
      <c r="D226" s="43"/>
      <c r="E226" s="11"/>
      <c r="F226" s="11"/>
      <c r="G226" s="11"/>
      <c r="H226" s="11"/>
      <c r="I226" s="11"/>
      <c r="J226" s="11"/>
      <c r="K226" s="11"/>
      <c r="L226" s="11"/>
      <c r="M226" s="11"/>
      <c r="N226" s="11"/>
      <c r="O226" s="11"/>
      <c r="P226" s="11"/>
      <c r="Q226" s="11"/>
    </row>
    <row r="227" spans="1:17" ht="15.75" customHeight="1" x14ac:dyDescent="0.3">
      <c r="A227" s="11"/>
      <c r="B227" s="11"/>
      <c r="C227" s="11"/>
      <c r="D227" s="43"/>
      <c r="E227" s="11"/>
      <c r="F227" s="11"/>
      <c r="G227" s="11"/>
      <c r="H227" s="11"/>
      <c r="I227" s="11"/>
      <c r="J227" s="11"/>
      <c r="K227" s="11"/>
      <c r="L227" s="11"/>
      <c r="M227" s="11"/>
      <c r="N227" s="11"/>
      <c r="O227" s="11"/>
      <c r="P227" s="11"/>
      <c r="Q227" s="11"/>
    </row>
    <row r="228" spans="1:17" ht="15.75" customHeight="1" x14ac:dyDescent="0.3">
      <c r="A228" s="11"/>
      <c r="B228" s="11"/>
      <c r="C228" s="11"/>
      <c r="D228" s="43"/>
      <c r="E228" s="11"/>
      <c r="F228" s="11"/>
      <c r="G228" s="11"/>
      <c r="H228" s="11"/>
      <c r="I228" s="11"/>
      <c r="J228" s="11"/>
      <c r="K228" s="11"/>
      <c r="L228" s="11"/>
      <c r="M228" s="11"/>
      <c r="N228" s="11"/>
      <c r="O228" s="11"/>
      <c r="P228" s="11"/>
      <c r="Q228" s="11"/>
    </row>
    <row r="229" spans="1:17" ht="15.75" customHeight="1" x14ac:dyDescent="0.3">
      <c r="A229" s="11"/>
      <c r="B229" s="11"/>
      <c r="C229" s="11"/>
      <c r="D229" s="43"/>
      <c r="E229" s="11"/>
      <c r="F229" s="11"/>
      <c r="G229" s="11"/>
      <c r="H229" s="11"/>
      <c r="I229" s="11"/>
      <c r="J229" s="11"/>
      <c r="K229" s="11"/>
      <c r="L229" s="11"/>
      <c r="M229" s="11"/>
      <c r="N229" s="11"/>
      <c r="O229" s="11"/>
      <c r="P229" s="11"/>
      <c r="Q229" s="11"/>
    </row>
    <row r="230" spans="1:17" ht="15.75" customHeight="1" x14ac:dyDescent="0.3">
      <c r="A230" s="11"/>
      <c r="B230" s="11"/>
      <c r="C230" s="11"/>
      <c r="D230" s="43"/>
      <c r="E230" s="11"/>
      <c r="F230" s="11"/>
      <c r="G230" s="11"/>
      <c r="H230" s="11"/>
      <c r="I230" s="11"/>
      <c r="J230" s="11"/>
      <c r="K230" s="11"/>
      <c r="L230" s="11"/>
      <c r="M230" s="11"/>
      <c r="N230" s="11"/>
      <c r="O230" s="11"/>
      <c r="P230" s="11"/>
      <c r="Q230" s="11"/>
    </row>
    <row r="231" spans="1:17" ht="15.75" customHeight="1" x14ac:dyDescent="0.3">
      <c r="A231" s="11"/>
      <c r="B231" s="11"/>
      <c r="C231" s="11"/>
      <c r="D231" s="43"/>
      <c r="E231" s="11"/>
      <c r="F231" s="11"/>
      <c r="G231" s="11"/>
      <c r="H231" s="11"/>
      <c r="I231" s="11"/>
      <c r="J231" s="11"/>
      <c r="K231" s="11"/>
      <c r="L231" s="11"/>
      <c r="M231" s="11"/>
      <c r="N231" s="11"/>
      <c r="O231" s="11"/>
      <c r="P231" s="11"/>
      <c r="Q231" s="11"/>
    </row>
    <row r="232" spans="1:17" ht="15.75" customHeight="1" x14ac:dyDescent="0.3">
      <c r="A232" s="11"/>
      <c r="B232" s="11"/>
      <c r="C232" s="11"/>
      <c r="D232" s="43"/>
      <c r="E232" s="11"/>
      <c r="F232" s="11"/>
      <c r="G232" s="11"/>
      <c r="H232" s="11"/>
      <c r="I232" s="11"/>
      <c r="J232" s="11"/>
      <c r="K232" s="11"/>
      <c r="L232" s="11"/>
      <c r="M232" s="11"/>
      <c r="N232" s="11"/>
      <c r="O232" s="11"/>
      <c r="P232" s="11"/>
      <c r="Q232" s="11"/>
    </row>
    <row r="233" spans="1:17" ht="15.75" customHeight="1" x14ac:dyDescent="0.3">
      <c r="A233" s="11"/>
      <c r="B233" s="11"/>
      <c r="C233" s="11"/>
      <c r="D233" s="43"/>
      <c r="E233" s="11"/>
      <c r="F233" s="11"/>
      <c r="G233" s="11"/>
      <c r="H233" s="11"/>
      <c r="I233" s="11"/>
      <c r="J233" s="11"/>
      <c r="K233" s="11"/>
      <c r="L233" s="11"/>
      <c r="M233" s="11"/>
      <c r="N233" s="11"/>
      <c r="O233" s="11"/>
      <c r="P233" s="11"/>
      <c r="Q233" s="11"/>
    </row>
    <row r="234" spans="1:17" ht="15.75" customHeight="1" x14ac:dyDescent="0.3">
      <c r="A234" s="11"/>
      <c r="B234" s="11"/>
      <c r="C234" s="11"/>
      <c r="D234" s="43"/>
      <c r="E234" s="11"/>
      <c r="F234" s="11"/>
      <c r="G234" s="11"/>
      <c r="H234" s="11"/>
      <c r="I234" s="11"/>
      <c r="J234" s="11"/>
      <c r="K234" s="11"/>
      <c r="L234" s="11"/>
      <c r="M234" s="11"/>
      <c r="N234" s="11"/>
      <c r="O234" s="11"/>
      <c r="P234" s="11"/>
      <c r="Q234" s="11"/>
    </row>
    <row r="235" spans="1:17" ht="15.75" customHeight="1" x14ac:dyDescent="0.3">
      <c r="A235" s="11"/>
      <c r="B235" s="11"/>
      <c r="C235" s="11"/>
      <c r="D235" s="43"/>
      <c r="E235" s="11"/>
      <c r="F235" s="11"/>
      <c r="G235" s="11"/>
      <c r="H235" s="11"/>
      <c r="I235" s="11"/>
      <c r="J235" s="11"/>
      <c r="K235" s="11"/>
      <c r="L235" s="11"/>
      <c r="M235" s="11"/>
      <c r="N235" s="11"/>
      <c r="O235" s="11"/>
      <c r="P235" s="11"/>
      <c r="Q235" s="11"/>
    </row>
    <row r="236" spans="1:17" ht="15.75" customHeight="1" x14ac:dyDescent="0.3">
      <c r="A236" s="11"/>
      <c r="B236" s="11"/>
      <c r="C236" s="11"/>
      <c r="D236" s="43"/>
      <c r="E236" s="11"/>
      <c r="F236" s="11"/>
      <c r="G236" s="11"/>
      <c r="H236" s="11"/>
      <c r="I236" s="11"/>
      <c r="J236" s="11"/>
      <c r="K236" s="11"/>
      <c r="L236" s="11"/>
      <c r="M236" s="11"/>
      <c r="N236" s="11"/>
      <c r="O236" s="11"/>
      <c r="P236" s="11"/>
      <c r="Q236" s="11"/>
    </row>
    <row r="237" spans="1:17" ht="15.75" customHeight="1" x14ac:dyDescent="0.3">
      <c r="A237" s="11"/>
      <c r="B237" s="11"/>
      <c r="C237" s="11"/>
      <c r="D237" s="43"/>
      <c r="E237" s="11"/>
      <c r="F237" s="11"/>
      <c r="G237" s="11"/>
      <c r="H237" s="11"/>
      <c r="I237" s="11"/>
      <c r="J237" s="11"/>
      <c r="K237" s="11"/>
      <c r="L237" s="11"/>
      <c r="M237" s="11"/>
      <c r="N237" s="11"/>
      <c r="O237" s="11"/>
      <c r="P237" s="11"/>
      <c r="Q237" s="11"/>
    </row>
    <row r="238" spans="1:17" ht="15.75" customHeight="1" x14ac:dyDescent="0.3">
      <c r="A238" s="11"/>
      <c r="B238" s="11"/>
      <c r="C238" s="11"/>
      <c r="D238" s="43"/>
      <c r="E238" s="11"/>
      <c r="F238" s="11"/>
      <c r="G238" s="11"/>
      <c r="H238" s="11"/>
      <c r="I238" s="11"/>
      <c r="J238" s="11"/>
      <c r="K238" s="11"/>
      <c r="L238" s="11"/>
      <c r="M238" s="11"/>
      <c r="N238" s="11"/>
      <c r="O238" s="11"/>
      <c r="P238" s="11"/>
      <c r="Q238" s="11"/>
    </row>
    <row r="239" spans="1:17" ht="15.75" customHeight="1" x14ac:dyDescent="0.3">
      <c r="A239" s="11"/>
      <c r="B239" s="11"/>
      <c r="C239" s="11"/>
      <c r="D239" s="43"/>
      <c r="E239" s="11"/>
      <c r="F239" s="11"/>
      <c r="G239" s="11"/>
      <c r="H239" s="11"/>
      <c r="I239" s="11"/>
      <c r="J239" s="11"/>
      <c r="K239" s="11"/>
      <c r="L239" s="11"/>
      <c r="M239" s="11"/>
      <c r="N239" s="11"/>
      <c r="O239" s="11"/>
      <c r="P239" s="11"/>
      <c r="Q239" s="11"/>
    </row>
    <row r="240" spans="1:17" ht="15.75" customHeight="1" x14ac:dyDescent="0.3">
      <c r="A240" s="11"/>
      <c r="B240" s="11"/>
      <c r="C240" s="11"/>
      <c r="D240" s="43"/>
      <c r="E240" s="11"/>
      <c r="F240" s="11"/>
      <c r="G240" s="11"/>
      <c r="H240" s="11"/>
      <c r="I240" s="11"/>
      <c r="J240" s="11"/>
      <c r="K240" s="11"/>
      <c r="L240" s="11"/>
      <c r="M240" s="11"/>
      <c r="N240" s="11"/>
      <c r="O240" s="11"/>
      <c r="P240" s="11"/>
      <c r="Q240" s="11"/>
    </row>
    <row r="241" spans="1:17" ht="15.75" customHeight="1" x14ac:dyDescent="0.3">
      <c r="A241" s="11"/>
      <c r="B241" s="11"/>
      <c r="C241" s="11"/>
      <c r="D241" s="43"/>
      <c r="E241" s="11"/>
      <c r="F241" s="11"/>
      <c r="G241" s="11"/>
      <c r="H241" s="11"/>
      <c r="I241" s="11"/>
      <c r="J241" s="11"/>
      <c r="K241" s="11"/>
      <c r="L241" s="11"/>
      <c r="M241" s="11"/>
      <c r="N241" s="11"/>
      <c r="O241" s="11"/>
      <c r="P241" s="11"/>
      <c r="Q241" s="11"/>
    </row>
    <row r="242" spans="1:17" ht="15.75" customHeight="1" x14ac:dyDescent="0.3">
      <c r="A242" s="11"/>
      <c r="B242" s="11"/>
      <c r="C242" s="11"/>
      <c r="D242" s="43"/>
      <c r="E242" s="11"/>
      <c r="F242" s="11"/>
      <c r="G242" s="11"/>
      <c r="H242" s="11"/>
      <c r="I242" s="11"/>
      <c r="J242" s="11"/>
      <c r="K242" s="11"/>
      <c r="L242" s="11"/>
      <c r="M242" s="11"/>
      <c r="N242" s="11"/>
      <c r="O242" s="11"/>
      <c r="P242" s="11"/>
      <c r="Q242" s="11"/>
    </row>
    <row r="243" spans="1:17" ht="15.75" customHeight="1" x14ac:dyDescent="0.3">
      <c r="A243" s="11"/>
      <c r="B243" s="11"/>
      <c r="C243" s="11"/>
      <c r="D243" s="43"/>
      <c r="E243" s="11"/>
      <c r="F243" s="11"/>
      <c r="G243" s="11"/>
      <c r="H243" s="11"/>
      <c r="I243" s="11"/>
      <c r="J243" s="11"/>
      <c r="K243" s="11"/>
      <c r="L243" s="11"/>
      <c r="M243" s="11"/>
      <c r="N243" s="11"/>
      <c r="O243" s="11"/>
      <c r="P243" s="11"/>
      <c r="Q243" s="11"/>
    </row>
    <row r="244" spans="1:17" ht="15.75" customHeight="1" x14ac:dyDescent="0.3">
      <c r="A244" s="11"/>
      <c r="B244" s="11"/>
      <c r="C244" s="11"/>
      <c r="D244" s="43"/>
      <c r="E244" s="11"/>
      <c r="F244" s="11"/>
      <c r="G244" s="11"/>
      <c r="H244" s="11"/>
      <c r="I244" s="11"/>
      <c r="J244" s="11"/>
      <c r="K244" s="11"/>
      <c r="L244" s="11"/>
      <c r="M244" s="11"/>
      <c r="N244" s="11"/>
      <c r="O244" s="11"/>
      <c r="P244" s="11"/>
      <c r="Q244" s="11"/>
    </row>
    <row r="245" spans="1:17" ht="15.75" customHeight="1" x14ac:dyDescent="0.3">
      <c r="A245" s="11"/>
      <c r="B245" s="11"/>
      <c r="C245" s="11"/>
      <c r="D245" s="43"/>
      <c r="E245" s="11"/>
      <c r="F245" s="11"/>
      <c r="G245" s="11"/>
      <c r="H245" s="11"/>
      <c r="I245" s="11"/>
      <c r="J245" s="11"/>
      <c r="K245" s="11"/>
      <c r="L245" s="11"/>
      <c r="M245" s="11"/>
      <c r="N245" s="11"/>
      <c r="O245" s="11"/>
      <c r="P245" s="11"/>
      <c r="Q245" s="11"/>
    </row>
    <row r="246" spans="1:17" ht="15.75" customHeight="1" x14ac:dyDescent="0.3">
      <c r="A246" s="11"/>
      <c r="B246" s="11"/>
      <c r="C246" s="11"/>
      <c r="D246" s="43"/>
      <c r="E246" s="11"/>
      <c r="F246" s="11"/>
      <c r="G246" s="11"/>
      <c r="H246" s="11"/>
      <c r="I246" s="11"/>
      <c r="J246" s="11"/>
      <c r="K246" s="11"/>
      <c r="L246" s="11"/>
      <c r="M246" s="11"/>
      <c r="N246" s="11"/>
      <c r="O246" s="11"/>
      <c r="P246" s="11"/>
      <c r="Q246" s="11"/>
    </row>
    <row r="247" spans="1:17" ht="15.75" customHeight="1" x14ac:dyDescent="0.3">
      <c r="A247" s="11"/>
      <c r="B247" s="11"/>
      <c r="C247" s="11"/>
      <c r="D247" s="43"/>
      <c r="E247" s="11"/>
      <c r="F247" s="11"/>
      <c r="G247" s="11"/>
      <c r="H247" s="11"/>
      <c r="I247" s="11"/>
      <c r="J247" s="11"/>
      <c r="K247" s="11"/>
      <c r="L247" s="11"/>
      <c r="M247" s="11"/>
      <c r="N247" s="11"/>
      <c r="O247" s="11"/>
      <c r="P247" s="11"/>
      <c r="Q247" s="11"/>
    </row>
    <row r="248" spans="1:17" ht="15.75" customHeight="1" x14ac:dyDescent="0.3">
      <c r="A248" s="11"/>
      <c r="B248" s="11"/>
      <c r="C248" s="11"/>
      <c r="D248" s="43"/>
      <c r="E248" s="11"/>
      <c r="F248" s="11"/>
      <c r="G248" s="11"/>
      <c r="H248" s="11"/>
      <c r="I248" s="11"/>
      <c r="J248" s="11"/>
      <c r="K248" s="11"/>
      <c r="L248" s="11"/>
      <c r="M248" s="11"/>
      <c r="N248" s="11"/>
      <c r="O248" s="11"/>
      <c r="P248" s="11"/>
      <c r="Q248" s="11"/>
    </row>
    <row r="249" spans="1:17" ht="15.75" customHeight="1" x14ac:dyDescent="0.3">
      <c r="A249" s="11"/>
      <c r="B249" s="11"/>
      <c r="C249" s="11"/>
      <c r="D249" s="43"/>
      <c r="E249" s="11"/>
      <c r="F249" s="11"/>
      <c r="G249" s="11"/>
      <c r="H249" s="11"/>
      <c r="I249" s="11"/>
      <c r="J249" s="11"/>
      <c r="K249" s="11"/>
      <c r="L249" s="11"/>
      <c r="M249" s="11"/>
      <c r="N249" s="11"/>
      <c r="O249" s="11"/>
      <c r="P249" s="11"/>
      <c r="Q249" s="11"/>
    </row>
    <row r="250" spans="1:17" ht="15.75" customHeight="1" x14ac:dyDescent="0.3">
      <c r="A250" s="11"/>
      <c r="B250" s="11"/>
      <c r="C250" s="11"/>
      <c r="D250" s="43"/>
      <c r="E250" s="11"/>
      <c r="F250" s="11"/>
      <c r="G250" s="11"/>
      <c r="H250" s="11"/>
      <c r="I250" s="11"/>
      <c r="J250" s="11"/>
      <c r="K250" s="11"/>
      <c r="L250" s="11"/>
      <c r="M250" s="11"/>
      <c r="N250" s="11"/>
      <c r="O250" s="11"/>
      <c r="P250" s="11"/>
      <c r="Q250" s="11"/>
    </row>
    <row r="251" spans="1:17" ht="15.75" customHeight="1" x14ac:dyDescent="0.3">
      <c r="A251" s="11"/>
      <c r="B251" s="11"/>
      <c r="C251" s="11"/>
      <c r="D251" s="43"/>
      <c r="E251" s="11"/>
      <c r="F251" s="11"/>
      <c r="G251" s="11"/>
      <c r="H251" s="11"/>
      <c r="I251" s="11"/>
      <c r="J251" s="11"/>
      <c r="K251" s="11"/>
      <c r="L251" s="11"/>
      <c r="M251" s="11"/>
      <c r="N251" s="11"/>
      <c r="O251" s="11"/>
      <c r="P251" s="11"/>
      <c r="Q251" s="11"/>
    </row>
    <row r="252" spans="1:17" ht="15.75" customHeight="1" x14ac:dyDescent="0.3">
      <c r="A252" s="11"/>
      <c r="B252" s="11"/>
      <c r="C252" s="11"/>
      <c r="D252" s="43"/>
      <c r="E252" s="11"/>
      <c r="F252" s="11"/>
      <c r="G252" s="11"/>
      <c r="H252" s="11"/>
      <c r="I252" s="11"/>
      <c r="J252" s="11"/>
      <c r="K252" s="11"/>
      <c r="L252" s="11"/>
      <c r="M252" s="11"/>
      <c r="N252" s="11"/>
      <c r="O252" s="11"/>
      <c r="P252" s="11"/>
      <c r="Q252" s="11"/>
    </row>
    <row r="253" spans="1:17" ht="15.75" customHeight="1" x14ac:dyDescent="0.3">
      <c r="A253" s="11"/>
      <c r="B253" s="11"/>
      <c r="C253" s="11"/>
      <c r="D253" s="43"/>
      <c r="E253" s="11"/>
      <c r="F253" s="11"/>
      <c r="G253" s="11"/>
      <c r="H253" s="11"/>
      <c r="I253" s="11"/>
      <c r="J253" s="11"/>
      <c r="K253" s="11"/>
      <c r="L253" s="11"/>
      <c r="M253" s="11"/>
      <c r="N253" s="11"/>
      <c r="O253" s="11"/>
      <c r="P253" s="11"/>
      <c r="Q253" s="11"/>
    </row>
    <row r="254" spans="1:17" ht="15.75" customHeight="1" x14ac:dyDescent="0.3">
      <c r="A254" s="11"/>
      <c r="B254" s="11"/>
      <c r="C254" s="11"/>
      <c r="D254" s="43"/>
      <c r="E254" s="11"/>
      <c r="F254" s="11"/>
      <c r="G254" s="11"/>
      <c r="H254" s="11"/>
      <c r="I254" s="11"/>
      <c r="J254" s="11"/>
      <c r="K254" s="11"/>
      <c r="L254" s="11"/>
      <c r="M254" s="11"/>
      <c r="N254" s="11"/>
      <c r="O254" s="11"/>
      <c r="P254" s="11"/>
      <c r="Q254" s="11"/>
    </row>
    <row r="255" spans="1:17" ht="15.75" customHeight="1" x14ac:dyDescent="0.3">
      <c r="A255" s="11"/>
      <c r="B255" s="11"/>
      <c r="C255" s="11"/>
      <c r="D255" s="43"/>
      <c r="E255" s="11"/>
      <c r="F255" s="11"/>
      <c r="G255" s="11"/>
      <c r="H255" s="11"/>
      <c r="I255" s="11"/>
      <c r="J255" s="11"/>
      <c r="K255" s="11"/>
      <c r="L255" s="11"/>
      <c r="M255" s="11"/>
      <c r="N255" s="11"/>
      <c r="O255" s="11"/>
      <c r="P255" s="11"/>
      <c r="Q255" s="11"/>
    </row>
    <row r="256" spans="1:17" ht="15.75" customHeight="1" x14ac:dyDescent="0.3">
      <c r="A256" s="11"/>
      <c r="B256" s="11"/>
      <c r="C256" s="11"/>
      <c r="D256" s="43"/>
      <c r="E256" s="11"/>
      <c r="F256" s="11"/>
      <c r="G256" s="11"/>
      <c r="H256" s="11"/>
      <c r="I256" s="11"/>
      <c r="J256" s="11"/>
      <c r="K256" s="11"/>
      <c r="L256" s="11"/>
      <c r="M256" s="11"/>
      <c r="N256" s="11"/>
      <c r="O256" s="11"/>
      <c r="P256" s="11"/>
      <c r="Q256" s="11"/>
    </row>
    <row r="257" spans="1:17" ht="15.75" customHeight="1" x14ac:dyDescent="0.3">
      <c r="A257" s="11"/>
      <c r="B257" s="11"/>
      <c r="C257" s="11"/>
      <c r="D257" s="43"/>
      <c r="E257" s="11"/>
      <c r="F257" s="11"/>
      <c r="G257" s="11"/>
      <c r="H257" s="11"/>
      <c r="I257" s="11"/>
      <c r="J257" s="11"/>
      <c r="K257" s="11"/>
      <c r="L257" s="11"/>
      <c r="M257" s="11"/>
      <c r="N257" s="11"/>
      <c r="O257" s="11"/>
      <c r="P257" s="11"/>
      <c r="Q257" s="11"/>
    </row>
    <row r="258" spans="1:17" ht="15.75" customHeight="1" x14ac:dyDescent="0.3">
      <c r="A258" s="11"/>
      <c r="B258" s="11"/>
      <c r="C258" s="11"/>
      <c r="D258" s="43"/>
      <c r="E258" s="11"/>
      <c r="F258" s="11"/>
      <c r="G258" s="11"/>
      <c r="H258" s="11"/>
      <c r="I258" s="11"/>
      <c r="J258" s="11"/>
      <c r="K258" s="11"/>
      <c r="L258" s="11"/>
      <c r="M258" s="11"/>
      <c r="N258" s="11"/>
      <c r="O258" s="11"/>
      <c r="P258" s="11"/>
      <c r="Q258" s="11"/>
    </row>
    <row r="259" spans="1:17" ht="15.75" customHeight="1" x14ac:dyDescent="0.3">
      <c r="A259" s="11"/>
      <c r="B259" s="11"/>
      <c r="C259" s="11"/>
      <c r="D259" s="43"/>
      <c r="E259" s="11"/>
      <c r="F259" s="11"/>
      <c r="G259" s="11"/>
      <c r="H259" s="11"/>
      <c r="I259" s="11"/>
      <c r="J259" s="11"/>
      <c r="K259" s="11"/>
      <c r="L259" s="11"/>
      <c r="M259" s="11"/>
      <c r="N259" s="11"/>
      <c r="O259" s="11"/>
      <c r="P259" s="11"/>
      <c r="Q259" s="11"/>
    </row>
    <row r="260" spans="1:17" ht="15.75" customHeight="1" x14ac:dyDescent="0.3">
      <c r="A260" s="11"/>
      <c r="B260" s="11"/>
      <c r="C260" s="11"/>
      <c r="D260" s="43"/>
      <c r="E260" s="11"/>
      <c r="F260" s="11"/>
      <c r="G260" s="11"/>
      <c r="H260" s="11"/>
      <c r="I260" s="11"/>
      <c r="J260" s="11"/>
      <c r="K260" s="11"/>
      <c r="L260" s="11"/>
      <c r="M260" s="11"/>
      <c r="N260" s="11"/>
      <c r="O260" s="11"/>
      <c r="P260" s="11"/>
      <c r="Q260" s="11"/>
    </row>
    <row r="261" spans="1:17" ht="15.75" customHeight="1" x14ac:dyDescent="0.3">
      <c r="A261" s="11"/>
      <c r="B261" s="11"/>
      <c r="C261" s="11"/>
      <c r="D261" s="43"/>
      <c r="E261" s="11"/>
      <c r="F261" s="11"/>
      <c r="G261" s="11"/>
      <c r="H261" s="11"/>
      <c r="I261" s="11"/>
      <c r="J261" s="11"/>
      <c r="K261" s="11"/>
      <c r="L261" s="11"/>
      <c r="M261" s="11"/>
      <c r="N261" s="11"/>
      <c r="O261" s="11"/>
      <c r="P261" s="11"/>
      <c r="Q261" s="11"/>
    </row>
    <row r="262" spans="1:17" ht="15.75" customHeight="1" x14ac:dyDescent="0.3">
      <c r="A262" s="11"/>
      <c r="B262" s="11"/>
      <c r="C262" s="11"/>
      <c r="D262" s="43"/>
      <c r="E262" s="11"/>
      <c r="F262" s="11"/>
      <c r="G262" s="11"/>
      <c r="H262" s="11"/>
      <c r="I262" s="11"/>
      <c r="J262" s="11"/>
      <c r="K262" s="11"/>
      <c r="L262" s="11"/>
      <c r="M262" s="11"/>
      <c r="N262" s="11"/>
      <c r="O262" s="11"/>
      <c r="P262" s="11"/>
      <c r="Q262" s="11"/>
    </row>
    <row r="263" spans="1:17" ht="15.75" customHeight="1" x14ac:dyDescent="0.3">
      <c r="A263" s="11"/>
      <c r="B263" s="11"/>
      <c r="C263" s="11"/>
      <c r="D263" s="43"/>
      <c r="E263" s="11"/>
      <c r="F263" s="11"/>
      <c r="G263" s="11"/>
      <c r="H263" s="11"/>
      <c r="I263" s="11"/>
      <c r="J263" s="11"/>
      <c r="K263" s="11"/>
      <c r="L263" s="11"/>
      <c r="M263" s="11"/>
      <c r="N263" s="11"/>
      <c r="O263" s="11"/>
      <c r="P263" s="11"/>
      <c r="Q263" s="11"/>
    </row>
    <row r="264" spans="1:17" ht="15.75" customHeight="1" x14ac:dyDescent="0.3">
      <c r="A264" s="11"/>
      <c r="B264" s="11"/>
      <c r="C264" s="11"/>
      <c r="D264" s="43"/>
      <c r="E264" s="11"/>
      <c r="F264" s="11"/>
      <c r="G264" s="11"/>
      <c r="H264" s="11"/>
      <c r="I264" s="11"/>
      <c r="J264" s="11"/>
      <c r="K264" s="11"/>
      <c r="L264" s="11"/>
      <c r="M264" s="11"/>
      <c r="N264" s="11"/>
      <c r="O264" s="11"/>
      <c r="P264" s="11"/>
      <c r="Q264" s="11"/>
    </row>
    <row r="265" spans="1:17" ht="15.75" customHeight="1" x14ac:dyDescent="0.3">
      <c r="A265" s="11"/>
      <c r="B265" s="11"/>
      <c r="C265" s="11"/>
      <c r="D265" s="43"/>
      <c r="E265" s="11"/>
      <c r="F265" s="11"/>
      <c r="G265" s="11"/>
      <c r="H265" s="11"/>
      <c r="I265" s="11"/>
      <c r="J265" s="11"/>
      <c r="K265" s="11"/>
      <c r="L265" s="11"/>
      <c r="M265" s="11"/>
      <c r="N265" s="11"/>
      <c r="O265" s="11"/>
      <c r="P265" s="11"/>
      <c r="Q265" s="11"/>
    </row>
    <row r="266" spans="1:17" ht="15.75" customHeight="1" x14ac:dyDescent="0.3">
      <c r="A266" s="11"/>
      <c r="B266" s="11"/>
      <c r="C266" s="11"/>
      <c r="D266" s="43"/>
      <c r="E266" s="11"/>
      <c r="F266" s="11"/>
      <c r="G266" s="11"/>
      <c r="H266" s="11"/>
      <c r="I266" s="11"/>
      <c r="J266" s="11"/>
      <c r="K266" s="11"/>
      <c r="L266" s="11"/>
      <c r="M266" s="11"/>
      <c r="N266" s="11"/>
      <c r="O266" s="11"/>
      <c r="P266" s="11"/>
      <c r="Q266" s="11"/>
    </row>
  </sheetData>
  <mergeCells count="18">
    <mergeCell ref="B66:H66"/>
    <mergeCell ref="B59:H59"/>
    <mergeCell ref="F61:G61"/>
    <mergeCell ref="D62:H62"/>
    <mergeCell ref="F57:G57"/>
    <mergeCell ref="D58:H58"/>
    <mergeCell ref="F54:G54"/>
    <mergeCell ref="D64:H64"/>
    <mergeCell ref="F10:G10"/>
    <mergeCell ref="F15:G15"/>
    <mergeCell ref="B56:H56"/>
    <mergeCell ref="D55:H55"/>
    <mergeCell ref="A1:H1"/>
    <mergeCell ref="F6:G6"/>
    <mergeCell ref="B17:H17"/>
    <mergeCell ref="D7:H7"/>
    <mergeCell ref="D11:H11"/>
    <mergeCell ref="D16:H16"/>
  </mergeCells>
  <printOptions horizontalCentered="1"/>
  <pageMargins left="0.19685039370078741" right="0.19685039370078741" top="0.19685039370078741" bottom="0.19685039370078741" header="0" footer="0"/>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258"/>
  <sheetViews>
    <sheetView topLeftCell="A2" workbookViewId="0"/>
  </sheetViews>
  <sheetFormatPr defaultColWidth="14.33203125" defaultRowHeight="15" customHeight="1" x14ac:dyDescent="0.3"/>
  <cols>
    <col min="1" max="1" width="5" customWidth="1"/>
    <col min="2" max="2" width="38" customWidth="1"/>
    <col min="3" max="3" width="20.6640625" customWidth="1"/>
    <col min="4" max="4" width="16.33203125" customWidth="1"/>
    <col min="5" max="6" width="11.88671875" customWidth="1"/>
    <col min="7" max="7" width="10.33203125" customWidth="1"/>
    <col min="8" max="8" width="21.109375" customWidth="1"/>
    <col min="9" max="9" width="7.33203125" customWidth="1"/>
    <col min="10" max="26" width="8.88671875" customWidth="1"/>
  </cols>
  <sheetData>
    <row r="1" spans="1:26" ht="60.75" hidden="1" customHeight="1" x14ac:dyDescent="0.3">
      <c r="A1" s="214" t="s">
        <v>249</v>
      </c>
      <c r="B1" s="194"/>
      <c r="C1" s="194"/>
      <c r="D1" s="194"/>
      <c r="E1" s="194"/>
      <c r="F1" s="194"/>
      <c r="G1" s="194"/>
      <c r="H1" s="194"/>
      <c r="I1" s="194"/>
      <c r="J1" s="44"/>
      <c r="K1" s="44"/>
      <c r="L1" s="44"/>
      <c r="M1" s="44"/>
      <c r="N1" s="44"/>
      <c r="O1" s="44"/>
      <c r="P1" s="44"/>
      <c r="Q1" s="44"/>
      <c r="R1" s="44"/>
      <c r="S1" s="44"/>
      <c r="T1" s="44"/>
      <c r="U1" s="44"/>
      <c r="V1" s="44"/>
      <c r="W1" s="44"/>
      <c r="X1" s="44"/>
      <c r="Y1" s="44"/>
      <c r="Z1" s="44"/>
    </row>
    <row r="2" spans="1:26" ht="14.25" customHeight="1" x14ac:dyDescent="0.3">
      <c r="A2" s="10"/>
      <c r="B2" s="45"/>
      <c r="C2" s="45"/>
      <c r="D2" s="45"/>
      <c r="E2" s="45"/>
      <c r="F2" s="45"/>
      <c r="G2" s="45"/>
      <c r="H2" s="215" t="s">
        <v>250</v>
      </c>
      <c r="I2" s="194"/>
      <c r="J2" s="44"/>
      <c r="K2" s="44"/>
      <c r="L2" s="44"/>
      <c r="M2" s="44"/>
      <c r="N2" s="44"/>
      <c r="O2" s="44"/>
      <c r="P2" s="44"/>
      <c r="Q2" s="44"/>
      <c r="R2" s="44"/>
      <c r="S2" s="44"/>
      <c r="T2" s="44"/>
      <c r="U2" s="44"/>
      <c r="V2" s="44"/>
      <c r="W2" s="44"/>
      <c r="X2" s="44"/>
      <c r="Y2" s="44"/>
      <c r="Z2" s="44"/>
    </row>
    <row r="3" spans="1:26" ht="14.25" customHeight="1" x14ac:dyDescent="0.3">
      <c r="A3" s="216" t="s">
        <v>192</v>
      </c>
      <c r="B3" s="194"/>
      <c r="C3" s="46"/>
      <c r="D3" s="46"/>
      <c r="E3" s="47"/>
      <c r="F3" s="217" t="s">
        <v>0</v>
      </c>
      <c r="G3" s="194"/>
      <c r="H3" s="194"/>
      <c r="I3" s="194"/>
      <c r="J3" s="44"/>
      <c r="K3" s="44"/>
      <c r="L3" s="44"/>
      <c r="M3" s="44"/>
      <c r="N3" s="44"/>
      <c r="O3" s="44"/>
      <c r="P3" s="44"/>
      <c r="Q3" s="44"/>
      <c r="R3" s="44"/>
      <c r="S3" s="44"/>
      <c r="T3" s="44"/>
      <c r="U3" s="44"/>
      <c r="V3" s="44"/>
      <c r="W3" s="44"/>
      <c r="X3" s="44"/>
      <c r="Y3" s="44"/>
      <c r="Z3" s="44"/>
    </row>
    <row r="4" spans="1:26" ht="14.25" customHeight="1" x14ac:dyDescent="0.3">
      <c r="A4" s="194"/>
      <c r="B4" s="194"/>
      <c r="C4" s="46"/>
      <c r="D4" s="46"/>
      <c r="E4" s="47"/>
      <c r="F4" s="218" t="s">
        <v>102</v>
      </c>
      <c r="G4" s="194"/>
      <c r="H4" s="194"/>
      <c r="I4" s="194"/>
      <c r="J4" s="44"/>
      <c r="K4" s="44"/>
      <c r="L4" s="44"/>
      <c r="M4" s="44"/>
      <c r="N4" s="44"/>
      <c r="O4" s="44"/>
      <c r="P4" s="44"/>
      <c r="Q4" s="44"/>
      <c r="R4" s="44"/>
      <c r="S4" s="44"/>
      <c r="T4" s="44"/>
      <c r="U4" s="44"/>
      <c r="V4" s="44"/>
      <c r="W4" s="44"/>
      <c r="X4" s="44"/>
      <c r="Y4" s="44"/>
      <c r="Z4" s="44"/>
    </row>
    <row r="5" spans="1:26" ht="57" customHeight="1" x14ac:dyDescent="0.3">
      <c r="A5" s="213" t="s">
        <v>251</v>
      </c>
      <c r="B5" s="194"/>
      <c r="C5" s="194"/>
      <c r="D5" s="194"/>
      <c r="E5" s="194"/>
      <c r="F5" s="194"/>
      <c r="G5" s="194"/>
      <c r="H5" s="194"/>
      <c r="I5" s="194"/>
      <c r="J5" s="44"/>
      <c r="K5" s="44"/>
      <c r="L5" s="44"/>
      <c r="M5" s="44"/>
      <c r="N5" s="44"/>
      <c r="O5" s="44"/>
      <c r="P5" s="44"/>
      <c r="Q5" s="44"/>
      <c r="R5" s="44"/>
      <c r="S5" s="44"/>
      <c r="T5" s="44"/>
      <c r="U5" s="44"/>
      <c r="V5" s="44"/>
      <c r="W5" s="44"/>
      <c r="X5" s="44"/>
      <c r="Y5" s="44"/>
      <c r="Z5" s="44"/>
    </row>
    <row r="6" spans="1:26" ht="14.25" customHeight="1" x14ac:dyDescent="0.3">
      <c r="A6" s="219" t="s">
        <v>252</v>
      </c>
      <c r="B6" s="194"/>
      <c r="C6" s="194"/>
      <c r="D6" s="194"/>
      <c r="E6" s="194"/>
      <c r="F6" s="194"/>
      <c r="G6" s="194"/>
      <c r="H6" s="194"/>
      <c r="I6" s="194"/>
      <c r="J6" s="44"/>
      <c r="K6" s="44"/>
      <c r="L6" s="44"/>
      <c r="M6" s="44"/>
      <c r="N6" s="44"/>
      <c r="O6" s="44"/>
      <c r="P6" s="44"/>
      <c r="Q6" s="44"/>
      <c r="R6" s="44"/>
      <c r="S6" s="44"/>
      <c r="T6" s="44"/>
      <c r="U6" s="44"/>
      <c r="V6" s="44"/>
      <c r="W6" s="44"/>
      <c r="X6" s="44"/>
      <c r="Y6" s="44"/>
      <c r="Z6" s="44"/>
    </row>
    <row r="7" spans="1:26" ht="14.25" customHeight="1" x14ac:dyDescent="0.3">
      <c r="A7" s="49"/>
      <c r="B7" s="220" t="s">
        <v>253</v>
      </c>
      <c r="C7" s="208"/>
      <c r="D7" s="208"/>
      <c r="E7" s="208"/>
      <c r="F7" s="208"/>
      <c r="G7" s="208"/>
      <c r="H7" s="208"/>
      <c r="I7" s="209"/>
      <c r="J7" s="44"/>
      <c r="K7" s="44"/>
      <c r="L7" s="44"/>
      <c r="M7" s="44"/>
      <c r="N7" s="44"/>
      <c r="O7" s="44"/>
      <c r="P7" s="44"/>
      <c r="Q7" s="44"/>
      <c r="R7" s="44"/>
      <c r="S7" s="44"/>
      <c r="T7" s="44"/>
      <c r="U7" s="44"/>
      <c r="V7" s="44"/>
      <c r="W7" s="44"/>
      <c r="X7" s="44"/>
      <c r="Y7" s="44"/>
      <c r="Z7" s="44"/>
    </row>
    <row r="8" spans="1:26" ht="14.25" customHeight="1" x14ac:dyDescent="0.3">
      <c r="A8" s="49"/>
      <c r="B8" s="220" t="s">
        <v>106</v>
      </c>
      <c r="C8" s="208"/>
      <c r="D8" s="208"/>
      <c r="E8" s="208"/>
      <c r="F8" s="208"/>
      <c r="G8" s="208"/>
      <c r="H8" s="208"/>
      <c r="I8" s="209"/>
      <c r="J8" s="44"/>
      <c r="K8" s="44"/>
      <c r="L8" s="44"/>
      <c r="M8" s="44"/>
      <c r="N8" s="44"/>
      <c r="O8" s="44"/>
      <c r="P8" s="44"/>
      <c r="Q8" s="44"/>
      <c r="R8" s="44"/>
      <c r="S8" s="44"/>
      <c r="T8" s="44"/>
      <c r="U8" s="44"/>
      <c r="V8" s="44"/>
      <c r="W8" s="44"/>
      <c r="X8" s="44"/>
      <c r="Y8" s="44"/>
      <c r="Z8" s="44"/>
    </row>
    <row r="9" spans="1:26" ht="14.25" customHeight="1" x14ac:dyDescent="0.3">
      <c r="A9" s="49"/>
      <c r="B9" s="220" t="s">
        <v>254</v>
      </c>
      <c r="C9" s="208"/>
      <c r="D9" s="208"/>
      <c r="E9" s="208"/>
      <c r="F9" s="208"/>
      <c r="G9" s="208"/>
      <c r="H9" s="208"/>
      <c r="I9" s="209"/>
      <c r="J9" s="44"/>
      <c r="K9" s="44"/>
      <c r="L9" s="44"/>
      <c r="M9" s="44"/>
      <c r="N9" s="44"/>
      <c r="O9" s="44"/>
      <c r="P9" s="44"/>
      <c r="Q9" s="44"/>
      <c r="R9" s="44"/>
      <c r="S9" s="44"/>
      <c r="T9" s="44"/>
      <c r="U9" s="44"/>
      <c r="V9" s="44"/>
      <c r="W9" s="44"/>
      <c r="X9" s="44"/>
      <c r="Y9" s="44"/>
      <c r="Z9" s="44"/>
    </row>
    <row r="10" spans="1:26" ht="14.25" customHeight="1" x14ac:dyDescent="0.3">
      <c r="A10" s="49"/>
      <c r="B10" s="220" t="s">
        <v>108</v>
      </c>
      <c r="C10" s="208"/>
      <c r="D10" s="208"/>
      <c r="E10" s="208"/>
      <c r="F10" s="208"/>
      <c r="G10" s="208"/>
      <c r="H10" s="208"/>
      <c r="I10" s="209"/>
      <c r="J10" s="44"/>
      <c r="K10" s="44"/>
      <c r="L10" s="44"/>
      <c r="M10" s="44"/>
      <c r="N10" s="44"/>
      <c r="O10" s="44"/>
      <c r="P10" s="44"/>
      <c r="Q10" s="44"/>
      <c r="R10" s="44"/>
      <c r="S10" s="44"/>
      <c r="T10" s="44"/>
      <c r="U10" s="44"/>
      <c r="V10" s="44"/>
      <c r="W10" s="44"/>
      <c r="X10" s="44"/>
      <c r="Y10" s="44"/>
      <c r="Z10" s="44"/>
    </row>
    <row r="11" spans="1:26" ht="14.25" customHeight="1" x14ac:dyDescent="0.3">
      <c r="A11" s="49"/>
      <c r="B11" s="222" t="s">
        <v>255</v>
      </c>
      <c r="C11" s="208"/>
      <c r="D11" s="208"/>
      <c r="E11" s="208"/>
      <c r="F11" s="208"/>
      <c r="G11" s="208"/>
      <c r="H11" s="208"/>
      <c r="I11" s="209"/>
      <c r="J11" s="44"/>
      <c r="K11" s="44"/>
      <c r="L11" s="44"/>
      <c r="M11" s="44"/>
      <c r="N11" s="44"/>
      <c r="O11" s="44"/>
      <c r="P11" s="44"/>
      <c r="Q11" s="44"/>
      <c r="R11" s="44"/>
      <c r="S11" s="44"/>
      <c r="T11" s="44"/>
      <c r="U11" s="44"/>
      <c r="V11" s="44"/>
      <c r="W11" s="44"/>
      <c r="X11" s="44"/>
      <c r="Y11" s="44"/>
      <c r="Z11" s="44"/>
    </row>
    <row r="12" spans="1:26" ht="14.25" customHeight="1" x14ac:dyDescent="0.3">
      <c r="A12" s="49"/>
      <c r="B12" s="223" t="s">
        <v>110</v>
      </c>
      <c r="C12" s="194"/>
      <c r="D12" s="194"/>
      <c r="E12" s="194"/>
      <c r="F12" s="194"/>
      <c r="G12" s="194"/>
      <c r="H12" s="194"/>
      <c r="I12" s="194"/>
      <c r="J12" s="44"/>
      <c r="K12" s="44"/>
      <c r="L12" s="44"/>
      <c r="M12" s="44"/>
      <c r="N12" s="44"/>
      <c r="O12" s="44"/>
      <c r="P12" s="44"/>
      <c r="Q12" s="44"/>
      <c r="R12" s="44"/>
      <c r="S12" s="44"/>
      <c r="T12" s="44"/>
      <c r="U12" s="44"/>
      <c r="V12" s="44"/>
      <c r="W12" s="44"/>
      <c r="X12" s="44"/>
      <c r="Y12" s="44"/>
      <c r="Z12" s="44"/>
    </row>
    <row r="13" spans="1:26" ht="14.25" customHeight="1" x14ac:dyDescent="0.3">
      <c r="A13" s="49"/>
      <c r="B13" s="224" t="s">
        <v>111</v>
      </c>
      <c r="C13" s="194"/>
      <c r="D13" s="194"/>
      <c r="E13" s="194"/>
      <c r="F13" s="194"/>
      <c r="G13" s="194"/>
      <c r="H13" s="194"/>
      <c r="I13" s="194"/>
      <c r="J13" s="44"/>
      <c r="K13" s="44"/>
      <c r="L13" s="44"/>
      <c r="M13" s="44"/>
      <c r="N13" s="44"/>
      <c r="O13" s="44"/>
      <c r="P13" s="44"/>
      <c r="Q13" s="44"/>
      <c r="R13" s="44"/>
      <c r="S13" s="44"/>
      <c r="T13" s="44"/>
      <c r="U13" s="44"/>
      <c r="V13" s="44"/>
      <c r="W13" s="44"/>
      <c r="X13" s="44"/>
      <c r="Y13" s="44"/>
      <c r="Z13" s="44"/>
    </row>
    <row r="14" spans="1:26" ht="19.5" customHeight="1" x14ac:dyDescent="0.3">
      <c r="A14" s="50" t="s">
        <v>10</v>
      </c>
      <c r="B14" s="221" t="s">
        <v>112</v>
      </c>
      <c r="C14" s="208"/>
      <c r="D14" s="208"/>
      <c r="E14" s="208"/>
      <c r="F14" s="208"/>
      <c r="G14" s="208"/>
      <c r="H14" s="208"/>
      <c r="I14" s="209"/>
      <c r="J14" s="51"/>
      <c r="K14" s="51"/>
      <c r="L14" s="51"/>
      <c r="M14" s="51"/>
      <c r="N14" s="51"/>
      <c r="O14" s="51"/>
      <c r="P14" s="51"/>
      <c r="Q14" s="51"/>
      <c r="R14" s="51"/>
      <c r="S14" s="51"/>
      <c r="T14" s="51"/>
      <c r="U14" s="51"/>
      <c r="V14" s="51"/>
      <c r="W14" s="51"/>
      <c r="X14" s="51"/>
      <c r="Y14" s="51"/>
      <c r="Z14" s="51"/>
    </row>
    <row r="15" spans="1:26" ht="14.25" customHeight="1" x14ac:dyDescent="0.3">
      <c r="A15" s="50" t="s">
        <v>1</v>
      </c>
      <c r="B15" s="211" t="s">
        <v>113</v>
      </c>
      <c r="C15" s="208"/>
      <c r="D15" s="209"/>
      <c r="E15" s="50" t="s">
        <v>114</v>
      </c>
      <c r="F15" s="50" t="s">
        <v>115</v>
      </c>
      <c r="G15" s="50" t="s">
        <v>116</v>
      </c>
      <c r="H15" s="50" t="s">
        <v>117</v>
      </c>
      <c r="I15" s="50" t="s">
        <v>118</v>
      </c>
      <c r="J15" s="51"/>
      <c r="K15" s="51"/>
      <c r="L15" s="51"/>
      <c r="M15" s="51"/>
      <c r="N15" s="51"/>
      <c r="O15" s="51"/>
      <c r="P15" s="51"/>
      <c r="Q15" s="51"/>
      <c r="R15" s="51"/>
      <c r="S15" s="51"/>
      <c r="T15" s="51"/>
      <c r="U15" s="51"/>
      <c r="V15" s="51"/>
      <c r="W15" s="51"/>
      <c r="X15" s="51"/>
      <c r="Y15" s="51"/>
      <c r="Z15" s="51"/>
    </row>
    <row r="16" spans="1:26" ht="41.25" customHeight="1" x14ac:dyDescent="0.3">
      <c r="A16" s="52">
        <v>1</v>
      </c>
      <c r="B16" s="212" t="s">
        <v>119</v>
      </c>
      <c r="C16" s="208"/>
      <c r="D16" s="209"/>
      <c r="E16" s="53"/>
      <c r="F16" s="53"/>
      <c r="G16" s="54">
        <f t="shared" ref="G16:H16" si="0">SUM(G17:G25)</f>
        <v>18</v>
      </c>
      <c r="H16" s="54">
        <f t="shared" si="0"/>
        <v>18</v>
      </c>
      <c r="I16" s="52"/>
      <c r="J16" s="51"/>
      <c r="K16" s="51"/>
      <c r="L16" s="51"/>
      <c r="M16" s="51"/>
      <c r="N16" s="51"/>
      <c r="O16" s="51"/>
      <c r="P16" s="51"/>
      <c r="Q16" s="51"/>
      <c r="R16" s="51"/>
      <c r="S16" s="51"/>
      <c r="T16" s="51"/>
      <c r="U16" s="51"/>
      <c r="V16" s="51"/>
      <c r="W16" s="51"/>
      <c r="X16" s="51"/>
      <c r="Y16" s="51"/>
      <c r="Z16" s="51"/>
    </row>
    <row r="17" spans="1:26" ht="94.5" customHeight="1" x14ac:dyDescent="0.3">
      <c r="A17" s="55" t="s">
        <v>120</v>
      </c>
      <c r="B17" s="210" t="s">
        <v>121</v>
      </c>
      <c r="C17" s="208"/>
      <c r="D17" s="209"/>
      <c r="E17" s="55"/>
      <c r="F17" s="55"/>
      <c r="G17" s="55">
        <v>2</v>
      </c>
      <c r="H17" s="55">
        <v>2</v>
      </c>
      <c r="I17" s="56"/>
      <c r="J17" s="51"/>
      <c r="K17" s="51"/>
      <c r="L17" s="51"/>
      <c r="M17" s="51"/>
      <c r="N17" s="51"/>
      <c r="O17" s="51"/>
      <c r="P17" s="51"/>
      <c r="Q17" s="51"/>
      <c r="R17" s="51"/>
      <c r="S17" s="51"/>
      <c r="T17" s="51"/>
      <c r="U17" s="51"/>
      <c r="V17" s="51"/>
      <c r="W17" s="51"/>
      <c r="X17" s="51"/>
      <c r="Y17" s="51"/>
      <c r="Z17" s="51"/>
    </row>
    <row r="18" spans="1:26" ht="63.75" customHeight="1" x14ac:dyDescent="0.3">
      <c r="A18" s="57" t="s">
        <v>122</v>
      </c>
      <c r="B18" s="207" t="s">
        <v>123</v>
      </c>
      <c r="C18" s="208"/>
      <c r="D18" s="209"/>
      <c r="E18" s="57"/>
      <c r="F18" s="57"/>
      <c r="G18" s="57">
        <v>2</v>
      </c>
      <c r="H18" s="57">
        <v>2</v>
      </c>
      <c r="I18" s="58"/>
      <c r="J18" s="51"/>
      <c r="K18" s="51"/>
      <c r="L18" s="51"/>
      <c r="M18" s="51"/>
      <c r="N18" s="51"/>
      <c r="O18" s="51"/>
      <c r="P18" s="51"/>
      <c r="Q18" s="51"/>
      <c r="R18" s="51"/>
      <c r="S18" s="51"/>
      <c r="T18" s="51"/>
      <c r="U18" s="51"/>
      <c r="V18" s="51"/>
      <c r="W18" s="51"/>
      <c r="X18" s="51"/>
      <c r="Y18" s="51"/>
      <c r="Z18" s="51"/>
    </row>
    <row r="19" spans="1:26" ht="77.25" customHeight="1" x14ac:dyDescent="0.3">
      <c r="A19" s="55" t="s">
        <v>124</v>
      </c>
      <c r="B19" s="210" t="s">
        <v>125</v>
      </c>
      <c r="C19" s="208"/>
      <c r="D19" s="209"/>
      <c r="E19" s="55"/>
      <c r="F19" s="55"/>
      <c r="G19" s="55">
        <v>2</v>
      </c>
      <c r="H19" s="55">
        <v>2</v>
      </c>
      <c r="I19" s="56"/>
      <c r="J19" s="51"/>
      <c r="K19" s="51"/>
      <c r="L19" s="51"/>
      <c r="M19" s="51"/>
      <c r="N19" s="51"/>
      <c r="O19" s="51"/>
      <c r="P19" s="51"/>
      <c r="Q19" s="51"/>
      <c r="R19" s="51"/>
      <c r="S19" s="51"/>
      <c r="T19" s="51"/>
      <c r="U19" s="51"/>
      <c r="V19" s="51"/>
      <c r="W19" s="51"/>
      <c r="X19" s="51"/>
      <c r="Y19" s="51"/>
      <c r="Z19" s="51"/>
    </row>
    <row r="20" spans="1:26" ht="63" customHeight="1" x14ac:dyDescent="0.3">
      <c r="A20" s="57" t="s">
        <v>126</v>
      </c>
      <c r="B20" s="207" t="s">
        <v>127</v>
      </c>
      <c r="C20" s="208"/>
      <c r="D20" s="209"/>
      <c r="E20" s="57"/>
      <c r="F20" s="57"/>
      <c r="G20" s="57">
        <v>2</v>
      </c>
      <c r="H20" s="57">
        <v>2</v>
      </c>
      <c r="I20" s="58"/>
      <c r="J20" s="51"/>
      <c r="K20" s="51"/>
      <c r="L20" s="51"/>
      <c r="M20" s="51"/>
      <c r="N20" s="51"/>
      <c r="O20" s="51"/>
      <c r="P20" s="51"/>
      <c r="Q20" s="51"/>
      <c r="R20" s="51"/>
      <c r="S20" s="51"/>
      <c r="T20" s="51"/>
      <c r="U20" s="51"/>
      <c r="V20" s="51"/>
      <c r="W20" s="51"/>
      <c r="X20" s="51"/>
      <c r="Y20" s="51"/>
      <c r="Z20" s="51"/>
    </row>
    <row r="21" spans="1:26" ht="94.5" customHeight="1" x14ac:dyDescent="0.3">
      <c r="A21" s="55" t="s">
        <v>128</v>
      </c>
      <c r="B21" s="210" t="s">
        <v>129</v>
      </c>
      <c r="C21" s="208"/>
      <c r="D21" s="209"/>
      <c r="E21" s="55"/>
      <c r="F21" s="55"/>
      <c r="G21" s="55">
        <v>2</v>
      </c>
      <c r="H21" s="55">
        <v>2</v>
      </c>
      <c r="I21" s="56"/>
      <c r="J21" s="51"/>
      <c r="K21" s="51"/>
      <c r="L21" s="51"/>
      <c r="M21" s="51"/>
      <c r="N21" s="51"/>
      <c r="O21" s="51"/>
      <c r="P21" s="51"/>
      <c r="Q21" s="51"/>
      <c r="R21" s="51"/>
      <c r="S21" s="51"/>
      <c r="T21" s="51"/>
      <c r="U21" s="51"/>
      <c r="V21" s="51"/>
      <c r="W21" s="51"/>
      <c r="X21" s="51"/>
      <c r="Y21" s="51"/>
      <c r="Z21" s="51"/>
    </row>
    <row r="22" spans="1:26" ht="111" customHeight="1" x14ac:dyDescent="0.3">
      <c r="A22" s="57" t="s">
        <v>130</v>
      </c>
      <c r="B22" s="207" t="s">
        <v>131</v>
      </c>
      <c r="C22" s="208"/>
      <c r="D22" s="209"/>
      <c r="E22" s="57"/>
      <c r="F22" s="57"/>
      <c r="G22" s="57">
        <v>2</v>
      </c>
      <c r="H22" s="57">
        <v>2</v>
      </c>
      <c r="I22" s="58"/>
      <c r="J22" s="51"/>
      <c r="K22" s="51"/>
      <c r="L22" s="51"/>
      <c r="M22" s="51"/>
      <c r="N22" s="51"/>
      <c r="O22" s="51"/>
      <c r="P22" s="51"/>
      <c r="Q22" s="51"/>
      <c r="R22" s="51"/>
      <c r="S22" s="51"/>
      <c r="T22" s="51"/>
      <c r="U22" s="51"/>
      <c r="V22" s="51"/>
      <c r="W22" s="51"/>
      <c r="X22" s="51"/>
      <c r="Y22" s="51"/>
      <c r="Z22" s="51"/>
    </row>
    <row r="23" spans="1:26" ht="30.75" customHeight="1" x14ac:dyDescent="0.3">
      <c r="A23" s="55" t="s">
        <v>132</v>
      </c>
      <c r="B23" s="210" t="s">
        <v>133</v>
      </c>
      <c r="C23" s="208"/>
      <c r="D23" s="209"/>
      <c r="E23" s="55"/>
      <c r="F23" s="55"/>
      <c r="G23" s="55">
        <v>2</v>
      </c>
      <c r="H23" s="55">
        <v>2</v>
      </c>
      <c r="I23" s="56"/>
      <c r="J23" s="51"/>
      <c r="K23" s="51"/>
      <c r="L23" s="51"/>
      <c r="M23" s="51"/>
      <c r="N23" s="51"/>
      <c r="O23" s="51"/>
      <c r="P23" s="51"/>
      <c r="Q23" s="51"/>
      <c r="R23" s="51"/>
      <c r="S23" s="51"/>
      <c r="T23" s="51"/>
      <c r="U23" s="51"/>
      <c r="V23" s="51"/>
      <c r="W23" s="51"/>
      <c r="X23" s="51"/>
      <c r="Y23" s="51"/>
      <c r="Z23" s="51"/>
    </row>
    <row r="24" spans="1:26" ht="31.5" customHeight="1" x14ac:dyDescent="0.3">
      <c r="A24" s="57" t="s">
        <v>134</v>
      </c>
      <c r="B24" s="207" t="s">
        <v>135</v>
      </c>
      <c r="C24" s="208"/>
      <c r="D24" s="209"/>
      <c r="E24" s="57"/>
      <c r="F24" s="57"/>
      <c r="G24" s="57">
        <v>2</v>
      </c>
      <c r="H24" s="57">
        <v>2</v>
      </c>
      <c r="I24" s="58"/>
      <c r="J24" s="51"/>
      <c r="K24" s="51"/>
      <c r="L24" s="51"/>
      <c r="M24" s="51"/>
      <c r="N24" s="51"/>
      <c r="O24" s="51"/>
      <c r="P24" s="51"/>
      <c r="Q24" s="51"/>
      <c r="R24" s="51"/>
      <c r="S24" s="51"/>
      <c r="T24" s="51"/>
      <c r="U24" s="51"/>
      <c r="V24" s="51"/>
      <c r="W24" s="51"/>
      <c r="X24" s="51"/>
      <c r="Y24" s="51"/>
      <c r="Z24" s="51"/>
    </row>
    <row r="25" spans="1:26" ht="62.25" customHeight="1" x14ac:dyDescent="0.3">
      <c r="A25" s="55" t="s">
        <v>136</v>
      </c>
      <c r="B25" s="210" t="s">
        <v>137</v>
      </c>
      <c r="C25" s="208"/>
      <c r="D25" s="209"/>
      <c r="E25" s="55"/>
      <c r="F25" s="55"/>
      <c r="G25" s="55">
        <v>2</v>
      </c>
      <c r="H25" s="55">
        <v>2</v>
      </c>
      <c r="I25" s="56"/>
      <c r="J25" s="51"/>
      <c r="K25" s="51"/>
      <c r="L25" s="51"/>
      <c r="M25" s="51"/>
      <c r="N25" s="51"/>
      <c r="O25" s="51"/>
      <c r="P25" s="51"/>
      <c r="Q25" s="51"/>
      <c r="R25" s="51"/>
      <c r="S25" s="51"/>
      <c r="T25" s="51"/>
      <c r="U25" s="51"/>
      <c r="V25" s="51"/>
      <c r="W25" s="51"/>
      <c r="X25" s="51"/>
      <c r="Y25" s="51"/>
      <c r="Z25" s="51"/>
    </row>
    <row r="26" spans="1:26" ht="25.5" customHeight="1" x14ac:dyDescent="0.3">
      <c r="A26" s="52">
        <v>2</v>
      </c>
      <c r="B26" s="212" t="s">
        <v>138</v>
      </c>
      <c r="C26" s="208"/>
      <c r="D26" s="209"/>
      <c r="E26" s="53"/>
      <c r="F26" s="53"/>
      <c r="G26" s="54">
        <f t="shared" ref="G26:H26" si="1">SUM(G27:G30)</f>
        <v>4</v>
      </c>
      <c r="H26" s="54">
        <f t="shared" si="1"/>
        <v>4</v>
      </c>
      <c r="I26" s="52"/>
      <c r="J26" s="51"/>
      <c r="K26" s="51"/>
      <c r="L26" s="51"/>
      <c r="M26" s="51"/>
      <c r="N26" s="51"/>
      <c r="O26" s="51"/>
      <c r="P26" s="51"/>
      <c r="Q26" s="51"/>
      <c r="R26" s="51"/>
      <c r="S26" s="51"/>
      <c r="T26" s="51"/>
      <c r="U26" s="51"/>
      <c r="V26" s="51"/>
      <c r="W26" s="51"/>
      <c r="X26" s="51"/>
      <c r="Y26" s="51"/>
      <c r="Z26" s="51"/>
    </row>
    <row r="27" spans="1:26" ht="62.25" customHeight="1" x14ac:dyDescent="0.3">
      <c r="A27" s="57" t="s">
        <v>139</v>
      </c>
      <c r="B27" s="207" t="s">
        <v>140</v>
      </c>
      <c r="C27" s="208"/>
      <c r="D27" s="209"/>
      <c r="E27" s="57"/>
      <c r="F27" s="57"/>
      <c r="G27" s="57">
        <v>1</v>
      </c>
      <c r="H27" s="57">
        <v>1</v>
      </c>
      <c r="I27" s="58"/>
      <c r="J27" s="51"/>
      <c r="K27" s="51"/>
      <c r="L27" s="51"/>
      <c r="M27" s="51"/>
      <c r="N27" s="51"/>
      <c r="O27" s="51"/>
      <c r="P27" s="51"/>
      <c r="Q27" s="51"/>
      <c r="R27" s="51"/>
      <c r="S27" s="51"/>
      <c r="T27" s="51"/>
      <c r="U27" s="51"/>
      <c r="V27" s="51"/>
      <c r="W27" s="51"/>
      <c r="X27" s="51"/>
      <c r="Y27" s="51"/>
      <c r="Z27" s="51"/>
    </row>
    <row r="28" spans="1:26" ht="46.5" customHeight="1" x14ac:dyDescent="0.3">
      <c r="A28" s="55" t="s">
        <v>141</v>
      </c>
      <c r="B28" s="210" t="s">
        <v>142</v>
      </c>
      <c r="C28" s="208"/>
      <c r="D28" s="209"/>
      <c r="E28" s="55"/>
      <c r="F28" s="55"/>
      <c r="G28" s="55">
        <v>1</v>
      </c>
      <c r="H28" s="55">
        <v>1</v>
      </c>
      <c r="I28" s="56"/>
      <c r="J28" s="51"/>
      <c r="K28" s="51"/>
      <c r="L28" s="51"/>
      <c r="M28" s="51"/>
      <c r="N28" s="51"/>
      <c r="O28" s="51"/>
      <c r="P28" s="51"/>
      <c r="Q28" s="51"/>
      <c r="R28" s="51"/>
      <c r="S28" s="51"/>
      <c r="T28" s="51"/>
      <c r="U28" s="51"/>
      <c r="V28" s="51"/>
      <c r="W28" s="51"/>
      <c r="X28" s="51"/>
      <c r="Y28" s="51"/>
      <c r="Z28" s="51"/>
    </row>
    <row r="29" spans="1:26" ht="62.25" customHeight="1" x14ac:dyDescent="0.3">
      <c r="A29" s="57" t="s">
        <v>143</v>
      </c>
      <c r="B29" s="207" t="s">
        <v>144</v>
      </c>
      <c r="C29" s="208"/>
      <c r="D29" s="209"/>
      <c r="E29" s="57"/>
      <c r="F29" s="57"/>
      <c r="G29" s="57">
        <v>1</v>
      </c>
      <c r="H29" s="57">
        <v>1</v>
      </c>
      <c r="I29" s="58"/>
      <c r="J29" s="51"/>
      <c r="K29" s="51"/>
      <c r="L29" s="51"/>
      <c r="M29" s="51"/>
      <c r="N29" s="51"/>
      <c r="O29" s="51"/>
      <c r="P29" s="51"/>
      <c r="Q29" s="51"/>
      <c r="R29" s="51"/>
      <c r="S29" s="51"/>
      <c r="T29" s="51"/>
      <c r="U29" s="51"/>
      <c r="V29" s="51"/>
      <c r="W29" s="51"/>
      <c r="X29" s="51"/>
      <c r="Y29" s="51"/>
      <c r="Z29" s="51"/>
    </row>
    <row r="30" spans="1:26" ht="43.5" customHeight="1" x14ac:dyDescent="0.3">
      <c r="A30" s="55" t="s">
        <v>145</v>
      </c>
      <c r="B30" s="210" t="s">
        <v>146</v>
      </c>
      <c r="C30" s="208"/>
      <c r="D30" s="209"/>
      <c r="E30" s="55"/>
      <c r="F30" s="55"/>
      <c r="G30" s="55">
        <v>1</v>
      </c>
      <c r="H30" s="55">
        <v>1</v>
      </c>
      <c r="I30" s="56"/>
      <c r="J30" s="51"/>
      <c r="K30" s="51"/>
      <c r="L30" s="51"/>
      <c r="M30" s="51"/>
      <c r="N30" s="51"/>
      <c r="O30" s="51"/>
      <c r="P30" s="51"/>
      <c r="Q30" s="51"/>
      <c r="R30" s="51"/>
      <c r="S30" s="51"/>
      <c r="T30" s="51"/>
      <c r="U30" s="51"/>
      <c r="V30" s="51"/>
      <c r="W30" s="51"/>
      <c r="X30" s="51"/>
      <c r="Y30" s="51"/>
      <c r="Z30" s="51"/>
    </row>
    <row r="31" spans="1:26" ht="31.5" customHeight="1" x14ac:dyDescent="0.3">
      <c r="A31" s="52"/>
      <c r="B31" s="212" t="s">
        <v>147</v>
      </c>
      <c r="C31" s="208"/>
      <c r="D31" s="209"/>
      <c r="E31" s="53"/>
      <c r="F31" s="53"/>
      <c r="G31" s="54">
        <f t="shared" ref="G31:H31" si="2">SUM(G32:G35)</f>
        <v>8</v>
      </c>
      <c r="H31" s="54">
        <f t="shared" si="2"/>
        <v>8</v>
      </c>
      <c r="I31" s="52"/>
      <c r="J31" s="51"/>
      <c r="K31" s="51"/>
      <c r="L31" s="51"/>
      <c r="M31" s="51"/>
      <c r="N31" s="51"/>
      <c r="O31" s="51"/>
      <c r="P31" s="51"/>
      <c r="Q31" s="51"/>
      <c r="R31" s="51"/>
      <c r="S31" s="51"/>
      <c r="T31" s="51"/>
      <c r="U31" s="51"/>
      <c r="V31" s="51"/>
      <c r="W31" s="51"/>
      <c r="X31" s="51"/>
      <c r="Y31" s="51"/>
      <c r="Z31" s="51"/>
    </row>
    <row r="32" spans="1:26" ht="31.5" customHeight="1" x14ac:dyDescent="0.3">
      <c r="A32" s="57" t="s">
        <v>148</v>
      </c>
      <c r="B32" s="207" t="s">
        <v>149</v>
      </c>
      <c r="C32" s="208"/>
      <c r="D32" s="209"/>
      <c r="E32" s="57"/>
      <c r="F32" s="57"/>
      <c r="G32" s="57">
        <v>2</v>
      </c>
      <c r="H32" s="57">
        <v>2</v>
      </c>
      <c r="I32" s="58"/>
      <c r="J32" s="51"/>
      <c r="K32" s="51"/>
      <c r="L32" s="51"/>
      <c r="M32" s="51"/>
      <c r="N32" s="51"/>
      <c r="O32" s="51"/>
      <c r="P32" s="51"/>
      <c r="Q32" s="51"/>
      <c r="R32" s="51"/>
      <c r="S32" s="51"/>
      <c r="T32" s="51"/>
      <c r="U32" s="51"/>
      <c r="V32" s="51"/>
      <c r="W32" s="51"/>
      <c r="X32" s="51"/>
      <c r="Y32" s="51"/>
      <c r="Z32" s="51"/>
    </row>
    <row r="33" spans="1:26" ht="31.5" customHeight="1" x14ac:dyDescent="0.3">
      <c r="A33" s="55" t="s">
        <v>150</v>
      </c>
      <c r="B33" s="210" t="s">
        <v>151</v>
      </c>
      <c r="C33" s="208"/>
      <c r="D33" s="209"/>
      <c r="E33" s="55"/>
      <c r="F33" s="55"/>
      <c r="G33" s="55">
        <v>2</v>
      </c>
      <c r="H33" s="55">
        <v>2</v>
      </c>
      <c r="I33" s="56"/>
      <c r="J33" s="51"/>
      <c r="K33" s="51"/>
      <c r="L33" s="51"/>
      <c r="M33" s="51"/>
      <c r="N33" s="51"/>
      <c r="O33" s="51"/>
      <c r="P33" s="51"/>
      <c r="Q33" s="51"/>
      <c r="R33" s="51"/>
      <c r="S33" s="51"/>
      <c r="T33" s="51"/>
      <c r="U33" s="51"/>
      <c r="V33" s="51"/>
      <c r="W33" s="51"/>
      <c r="X33" s="51"/>
      <c r="Y33" s="51"/>
      <c r="Z33" s="51"/>
    </row>
    <row r="34" spans="1:26" ht="31.5" customHeight="1" x14ac:dyDescent="0.3">
      <c r="A34" s="57" t="s">
        <v>152</v>
      </c>
      <c r="B34" s="207" t="s">
        <v>153</v>
      </c>
      <c r="C34" s="208"/>
      <c r="D34" s="209"/>
      <c r="E34" s="57"/>
      <c r="F34" s="57"/>
      <c r="G34" s="57">
        <v>2</v>
      </c>
      <c r="H34" s="57">
        <v>2</v>
      </c>
      <c r="I34" s="58"/>
      <c r="J34" s="51"/>
      <c r="K34" s="51"/>
      <c r="L34" s="51"/>
      <c r="M34" s="51"/>
      <c r="N34" s="51"/>
      <c r="O34" s="51"/>
      <c r="P34" s="51"/>
      <c r="Q34" s="51"/>
      <c r="R34" s="51"/>
      <c r="S34" s="51"/>
      <c r="T34" s="51"/>
      <c r="U34" s="51"/>
      <c r="V34" s="51"/>
      <c r="W34" s="51"/>
      <c r="X34" s="51"/>
      <c r="Y34" s="51"/>
      <c r="Z34" s="51"/>
    </row>
    <row r="35" spans="1:26" ht="31.5" customHeight="1" x14ac:dyDescent="0.3">
      <c r="A35" s="55" t="s">
        <v>154</v>
      </c>
      <c r="B35" s="210" t="s">
        <v>155</v>
      </c>
      <c r="C35" s="208"/>
      <c r="D35" s="209"/>
      <c r="E35" s="55"/>
      <c r="F35" s="55"/>
      <c r="G35" s="55">
        <v>2</v>
      </c>
      <c r="H35" s="55">
        <v>2</v>
      </c>
      <c r="I35" s="56"/>
      <c r="J35" s="51"/>
      <c r="K35" s="51"/>
      <c r="L35" s="51"/>
      <c r="M35" s="51"/>
      <c r="N35" s="51"/>
      <c r="O35" s="51"/>
      <c r="P35" s="51"/>
      <c r="Q35" s="51"/>
      <c r="R35" s="51"/>
      <c r="S35" s="51"/>
      <c r="T35" s="51"/>
      <c r="U35" s="51"/>
      <c r="V35" s="51"/>
      <c r="W35" s="51"/>
      <c r="X35" s="51"/>
      <c r="Y35" s="51"/>
      <c r="Z35" s="51"/>
    </row>
    <row r="36" spans="1:26" ht="22.5" customHeight="1" x14ac:dyDescent="0.3">
      <c r="A36" s="227" t="s">
        <v>156</v>
      </c>
      <c r="B36" s="208"/>
      <c r="C36" s="208"/>
      <c r="D36" s="208"/>
      <c r="E36" s="208"/>
      <c r="F36" s="209"/>
      <c r="G36" s="59">
        <f t="shared" ref="G36:H36" si="3">SUM(G31,G26,G16)</f>
        <v>30</v>
      </c>
      <c r="H36" s="59">
        <f t="shared" si="3"/>
        <v>30</v>
      </c>
      <c r="I36" s="60"/>
      <c r="J36" s="51"/>
      <c r="K36" s="51"/>
      <c r="L36" s="51"/>
      <c r="M36" s="51"/>
      <c r="N36" s="51"/>
      <c r="O36" s="51"/>
      <c r="P36" s="51"/>
      <c r="Q36" s="51"/>
      <c r="R36" s="51"/>
      <c r="S36" s="51"/>
      <c r="T36" s="51"/>
      <c r="U36" s="51"/>
      <c r="V36" s="51"/>
      <c r="W36" s="51"/>
      <c r="X36" s="51"/>
      <c r="Y36" s="51"/>
      <c r="Z36" s="51"/>
    </row>
    <row r="37" spans="1:26" ht="24" customHeight="1" x14ac:dyDescent="0.3">
      <c r="A37" s="50" t="s">
        <v>157</v>
      </c>
      <c r="B37" s="221" t="s">
        <v>158</v>
      </c>
      <c r="C37" s="208"/>
      <c r="D37" s="208"/>
      <c r="E37" s="208"/>
      <c r="F37" s="208"/>
      <c r="G37" s="208"/>
      <c r="H37" s="208"/>
      <c r="I37" s="209"/>
      <c r="J37" s="51"/>
      <c r="K37" s="51"/>
      <c r="L37" s="51"/>
      <c r="M37" s="51"/>
      <c r="N37" s="51"/>
      <c r="O37" s="51"/>
      <c r="P37" s="51"/>
      <c r="Q37" s="51"/>
      <c r="R37" s="51"/>
      <c r="S37" s="51"/>
      <c r="T37" s="51"/>
      <c r="U37" s="51"/>
      <c r="V37" s="51"/>
      <c r="W37" s="51"/>
      <c r="X37" s="51"/>
      <c r="Y37" s="51"/>
      <c r="Z37" s="51"/>
    </row>
    <row r="38" spans="1:26" ht="14.25" customHeight="1" x14ac:dyDescent="0.3">
      <c r="A38" s="50" t="s">
        <v>1</v>
      </c>
      <c r="B38" s="211" t="s">
        <v>113</v>
      </c>
      <c r="C38" s="209"/>
      <c r="D38" s="50" t="s">
        <v>160</v>
      </c>
      <c r="E38" s="50" t="s">
        <v>161</v>
      </c>
      <c r="F38" s="50" t="s">
        <v>162</v>
      </c>
      <c r="G38" s="50" t="s">
        <v>116</v>
      </c>
      <c r="H38" s="50" t="s">
        <v>163</v>
      </c>
      <c r="I38" s="50" t="s">
        <v>118</v>
      </c>
      <c r="J38" s="51"/>
      <c r="K38" s="51"/>
      <c r="L38" s="51"/>
      <c r="M38" s="51"/>
      <c r="N38" s="51"/>
      <c r="O38" s="51"/>
      <c r="P38" s="51"/>
      <c r="Q38" s="51"/>
      <c r="R38" s="51"/>
      <c r="S38" s="51"/>
      <c r="T38" s="51"/>
      <c r="U38" s="51"/>
      <c r="V38" s="51"/>
      <c r="W38" s="51"/>
      <c r="X38" s="51"/>
      <c r="Y38" s="51"/>
      <c r="Z38" s="51"/>
    </row>
    <row r="39" spans="1:26" ht="157.5" customHeight="1" x14ac:dyDescent="0.3">
      <c r="A39" s="55">
        <v>1</v>
      </c>
      <c r="B39" s="229" t="s">
        <v>256</v>
      </c>
      <c r="C39" s="209"/>
      <c r="D39" s="56" t="e">
        <f>'BẢNG TÍNH ĐIỂM (2)'!C6</f>
        <v>#REF!</v>
      </c>
      <c r="E39" s="61" t="e">
        <f>'BẢNG TÍNH ĐIỂM (2)'!H6</f>
        <v>#REF!</v>
      </c>
      <c r="F39" s="62" t="e">
        <f>'BẢNG TÍNH ĐIỂM (2)'!C7</f>
        <v>#REF!</v>
      </c>
      <c r="G39" s="63">
        <v>10</v>
      </c>
      <c r="H39" s="56" t="e">
        <f t="shared" ref="H39:H44" si="4">F39*G39</f>
        <v>#REF!</v>
      </c>
      <c r="I39" s="64"/>
      <c r="J39" s="51"/>
      <c r="K39" s="51"/>
      <c r="L39" s="51"/>
      <c r="M39" s="51"/>
      <c r="N39" s="51"/>
      <c r="O39" s="51"/>
      <c r="P39" s="51"/>
      <c r="Q39" s="51"/>
      <c r="R39" s="51"/>
      <c r="S39" s="51"/>
      <c r="T39" s="51"/>
      <c r="U39" s="51"/>
      <c r="V39" s="51"/>
      <c r="W39" s="51"/>
      <c r="X39" s="51"/>
      <c r="Y39" s="51"/>
      <c r="Z39" s="51"/>
    </row>
    <row r="40" spans="1:26" ht="222.75" customHeight="1" x14ac:dyDescent="0.3">
      <c r="A40" s="57">
        <v>2</v>
      </c>
      <c r="B40" s="225" t="s">
        <v>257</v>
      </c>
      <c r="C40" s="209"/>
      <c r="D40" s="58">
        <f>'BẢNG TÍNH ĐIỂM (2)'!C9</f>
        <v>0</v>
      </c>
      <c r="E40" s="65">
        <f>'BẢNG TÍNH ĐIỂM (2)'!D9</f>
        <v>0</v>
      </c>
      <c r="F40" s="62">
        <f>'BẢNG TÍNH ĐIỂM (2)'!C11</f>
        <v>1</v>
      </c>
      <c r="G40" s="66">
        <v>15</v>
      </c>
      <c r="H40" s="56">
        <f t="shared" si="4"/>
        <v>15</v>
      </c>
      <c r="I40" s="67"/>
      <c r="J40" s="51"/>
      <c r="K40" s="51"/>
      <c r="L40" s="51"/>
      <c r="M40" s="51"/>
      <c r="N40" s="51"/>
      <c r="O40" s="51"/>
      <c r="P40" s="51"/>
      <c r="Q40" s="51"/>
      <c r="R40" s="51"/>
      <c r="S40" s="51"/>
      <c r="T40" s="51"/>
      <c r="U40" s="51"/>
      <c r="V40" s="51"/>
      <c r="W40" s="51"/>
      <c r="X40" s="51"/>
      <c r="Y40" s="51"/>
      <c r="Z40" s="51"/>
    </row>
    <row r="41" spans="1:26" ht="153" customHeight="1" x14ac:dyDescent="0.3">
      <c r="A41" s="55">
        <v>3</v>
      </c>
      <c r="B41" s="226" t="s">
        <v>258</v>
      </c>
      <c r="C41" s="209"/>
      <c r="D41" s="56" t="e">
        <f>'BẢNG TÍNH ĐIỂM (2)'!C15</f>
        <v>#REF!</v>
      </c>
      <c r="E41" s="61" t="e">
        <f>'BẢNG TÍNH ĐIỂM (2)'!H15</f>
        <v>#REF!</v>
      </c>
      <c r="F41" s="62" t="e">
        <f>'BẢNG TÍNH ĐIỂM (2)'!C16</f>
        <v>#REF!</v>
      </c>
      <c r="G41" s="68">
        <v>10</v>
      </c>
      <c r="H41" s="56" t="e">
        <f t="shared" si="4"/>
        <v>#REF!</v>
      </c>
      <c r="I41" s="64"/>
      <c r="J41" s="51"/>
      <c r="K41" s="51"/>
      <c r="L41" s="51"/>
      <c r="M41" s="51"/>
      <c r="N41" s="51"/>
      <c r="O41" s="51"/>
      <c r="P41" s="51"/>
      <c r="Q41" s="51"/>
      <c r="R41" s="51"/>
      <c r="S41" s="51"/>
      <c r="T41" s="51"/>
      <c r="U41" s="51"/>
      <c r="V41" s="51"/>
      <c r="W41" s="51"/>
      <c r="X41" s="51"/>
      <c r="Y41" s="51"/>
      <c r="Z41" s="51"/>
    </row>
    <row r="42" spans="1:26" ht="408.75" customHeight="1" x14ac:dyDescent="0.3">
      <c r="A42" s="57">
        <v>4</v>
      </c>
      <c r="B42" s="225" t="s">
        <v>259</v>
      </c>
      <c r="C42" s="209"/>
      <c r="D42" s="58" t="e">
        <f>'BẢNG TÍNH ĐIỂM (2)'!C54</f>
        <v>#REF!</v>
      </c>
      <c r="E42" s="65" t="e">
        <f>'BẢNG TÍNH ĐIỂM (2)'!H54</f>
        <v>#REF!</v>
      </c>
      <c r="F42" s="62" t="e">
        <f>'BẢNG TÍNH ĐIỂM (2)'!C55</f>
        <v>#REF!</v>
      </c>
      <c r="G42" s="69">
        <v>20</v>
      </c>
      <c r="H42" s="56" t="e">
        <f t="shared" si="4"/>
        <v>#REF!</v>
      </c>
      <c r="I42" s="67"/>
      <c r="J42" s="51"/>
      <c r="K42" s="51"/>
      <c r="L42" s="51"/>
      <c r="M42" s="51"/>
      <c r="N42" s="51"/>
      <c r="O42" s="51"/>
      <c r="P42" s="51"/>
      <c r="Q42" s="51"/>
      <c r="R42" s="51"/>
      <c r="S42" s="51"/>
      <c r="T42" s="51"/>
      <c r="U42" s="51"/>
      <c r="V42" s="51"/>
      <c r="W42" s="51"/>
      <c r="X42" s="51"/>
      <c r="Y42" s="51"/>
      <c r="Z42" s="51"/>
    </row>
    <row r="43" spans="1:26" ht="129.75" customHeight="1" x14ac:dyDescent="0.3">
      <c r="A43" s="55">
        <v>5</v>
      </c>
      <c r="B43" s="229" t="s">
        <v>260</v>
      </c>
      <c r="C43" s="209"/>
      <c r="D43" s="56">
        <f>'BẢNG TÍNH ĐIỂM (2)'!C57</f>
        <v>0</v>
      </c>
      <c r="E43" s="61">
        <f>'BẢNG TÍNH ĐIỂM (2)'!H57</f>
        <v>0</v>
      </c>
      <c r="F43" s="62" t="e">
        <f>'BẢNG TÍNH ĐIỂM (2)'!C55</f>
        <v>#REF!</v>
      </c>
      <c r="G43" s="68">
        <v>10</v>
      </c>
      <c r="H43" s="56" t="e">
        <f t="shared" si="4"/>
        <v>#REF!</v>
      </c>
      <c r="I43" s="70"/>
      <c r="J43" s="51"/>
      <c r="K43" s="51"/>
      <c r="L43" s="51"/>
      <c r="M43" s="51"/>
      <c r="N43" s="51"/>
      <c r="O43" s="51"/>
      <c r="P43" s="51"/>
      <c r="Q43" s="51"/>
      <c r="R43" s="51"/>
      <c r="S43" s="51"/>
      <c r="T43" s="51"/>
      <c r="U43" s="51"/>
      <c r="V43" s="51"/>
      <c r="W43" s="51"/>
      <c r="X43" s="51"/>
      <c r="Y43" s="51"/>
      <c r="Z43" s="51"/>
    </row>
    <row r="44" spans="1:26" ht="132.75" customHeight="1" x14ac:dyDescent="0.3">
      <c r="A44" s="57">
        <v>6</v>
      </c>
      <c r="B44" s="225" t="s">
        <v>261</v>
      </c>
      <c r="C44" s="209"/>
      <c r="D44" s="58">
        <f>'BẢNG TÍNH ĐIỂM (2)'!C57</f>
        <v>0</v>
      </c>
      <c r="E44" s="65">
        <f>'BẢNG TÍNH ĐIỂM (2)'!H61</f>
        <v>0</v>
      </c>
      <c r="F44" s="62">
        <f>'BẢNG TÍNH ĐIỂM (2)'!C62</f>
        <v>1</v>
      </c>
      <c r="G44" s="66">
        <v>5</v>
      </c>
      <c r="H44" s="56">
        <f t="shared" si="4"/>
        <v>5</v>
      </c>
      <c r="I44" s="71"/>
      <c r="J44" s="51"/>
      <c r="K44" s="51"/>
      <c r="L44" s="51"/>
      <c r="M44" s="51"/>
      <c r="N44" s="51"/>
      <c r="O44" s="51"/>
      <c r="P44" s="51"/>
      <c r="Q44" s="51"/>
      <c r="R44" s="51"/>
      <c r="S44" s="51"/>
      <c r="T44" s="51"/>
      <c r="U44" s="51"/>
      <c r="V44" s="51"/>
      <c r="W44" s="51"/>
      <c r="X44" s="51"/>
      <c r="Y44" s="51"/>
      <c r="Z44" s="51"/>
    </row>
    <row r="45" spans="1:26" ht="14.25" customHeight="1" x14ac:dyDescent="0.3">
      <c r="A45" s="227" t="s">
        <v>262</v>
      </c>
      <c r="B45" s="208"/>
      <c r="C45" s="208"/>
      <c r="D45" s="208"/>
      <c r="E45" s="208"/>
      <c r="F45" s="209"/>
      <c r="G45" s="59">
        <f t="shared" ref="G45:H45" si="5">SUM(G39,G40,G41,G42,G43,G44)</f>
        <v>70</v>
      </c>
      <c r="H45" s="59" t="e">
        <f t="shared" si="5"/>
        <v>#REF!</v>
      </c>
      <c r="I45" s="73"/>
      <c r="J45" s="51"/>
      <c r="K45" s="51"/>
      <c r="L45" s="51"/>
      <c r="M45" s="51"/>
      <c r="N45" s="51"/>
      <c r="O45" s="51"/>
      <c r="P45" s="51"/>
      <c r="Q45" s="51"/>
      <c r="R45" s="51"/>
      <c r="S45" s="51"/>
      <c r="T45" s="51"/>
      <c r="U45" s="51"/>
      <c r="V45" s="51"/>
      <c r="W45" s="51"/>
      <c r="X45" s="51"/>
      <c r="Y45" s="51"/>
      <c r="Z45" s="51"/>
    </row>
    <row r="46" spans="1:26" ht="14.25" customHeight="1" x14ac:dyDescent="0.3">
      <c r="A46" s="230" t="s">
        <v>171</v>
      </c>
      <c r="B46" s="208"/>
      <c r="C46" s="208"/>
      <c r="D46" s="208"/>
      <c r="E46" s="208"/>
      <c r="F46" s="209"/>
      <c r="G46" s="74">
        <f t="shared" ref="G46:H46" si="6">G45+G36</f>
        <v>100</v>
      </c>
      <c r="H46" s="74" t="e">
        <f t="shared" si="6"/>
        <v>#REF!</v>
      </c>
      <c r="I46" s="76"/>
      <c r="J46" s="51"/>
      <c r="K46" s="51"/>
      <c r="L46" s="51"/>
      <c r="M46" s="51"/>
      <c r="N46" s="51"/>
      <c r="O46" s="51"/>
      <c r="P46" s="51"/>
      <c r="Q46" s="51"/>
      <c r="R46" s="51"/>
      <c r="S46" s="51"/>
      <c r="T46" s="51"/>
      <c r="U46" s="51"/>
      <c r="V46" s="51"/>
      <c r="W46" s="51"/>
      <c r="X46" s="51"/>
      <c r="Y46" s="51"/>
      <c r="Z46" s="51"/>
    </row>
    <row r="47" spans="1:26" ht="14.25" customHeight="1" x14ac:dyDescent="0.35">
      <c r="A47" s="77"/>
      <c r="B47" s="78" t="s">
        <v>172</v>
      </c>
      <c r="C47" s="93" t="e">
        <f>IF(H46&gt;=90,"Hoàn thành xuất sắc nhiệm vụ",IF(H46&gt;=80,"Hoàn thành tốt nhiệm vụ",IF(H46&gt;=60,"Hoàn thành nhiệm vụ","Không hoàn thành nhiệm vụ")))</f>
        <v>#REF!</v>
      </c>
      <c r="D47" s="80"/>
      <c r="E47" s="80"/>
      <c r="F47" s="80"/>
      <c r="G47" s="80"/>
      <c r="H47" s="80"/>
      <c r="I47" s="80"/>
      <c r="J47" s="51"/>
      <c r="K47" s="51"/>
      <c r="L47" s="51"/>
      <c r="M47" s="51"/>
      <c r="N47" s="51"/>
      <c r="O47" s="51"/>
      <c r="P47" s="51"/>
      <c r="Q47" s="51"/>
      <c r="R47" s="51"/>
      <c r="S47" s="51"/>
      <c r="T47" s="51"/>
      <c r="U47" s="51"/>
      <c r="V47" s="51"/>
      <c r="W47" s="51"/>
      <c r="X47" s="51"/>
      <c r="Y47" s="51"/>
      <c r="Z47" s="51"/>
    </row>
    <row r="48" spans="1:26" ht="32.25" customHeight="1" x14ac:dyDescent="0.3">
      <c r="A48" s="231" t="s">
        <v>173</v>
      </c>
      <c r="B48" s="194"/>
      <c r="C48" s="194"/>
      <c r="D48" s="194"/>
      <c r="E48" s="194"/>
      <c r="F48" s="194"/>
      <c r="G48" s="194"/>
      <c r="H48" s="194"/>
      <c r="I48" s="194"/>
      <c r="J48" s="51"/>
      <c r="K48" s="51"/>
      <c r="L48" s="51"/>
      <c r="M48" s="51"/>
      <c r="N48" s="51"/>
      <c r="O48" s="51"/>
      <c r="P48" s="51"/>
      <c r="Q48" s="51"/>
      <c r="R48" s="51"/>
      <c r="S48" s="51"/>
      <c r="T48" s="51"/>
      <c r="U48" s="51"/>
      <c r="V48" s="51"/>
      <c r="W48" s="51"/>
      <c r="X48" s="51"/>
      <c r="Y48" s="51"/>
      <c r="Z48" s="51"/>
    </row>
    <row r="49" spans="1:26" ht="14.25" customHeight="1" x14ac:dyDescent="0.3">
      <c r="A49" s="77"/>
      <c r="B49" s="81"/>
      <c r="C49" s="80"/>
      <c r="D49" s="82"/>
      <c r="E49" s="80"/>
      <c r="F49" s="213" t="s">
        <v>174</v>
      </c>
      <c r="G49" s="194"/>
      <c r="H49" s="194"/>
      <c r="I49" s="194"/>
      <c r="J49" s="51"/>
      <c r="K49" s="51"/>
      <c r="L49" s="51"/>
      <c r="M49" s="51"/>
      <c r="N49" s="51"/>
      <c r="O49" s="51"/>
      <c r="P49" s="51"/>
      <c r="Q49" s="51"/>
      <c r="R49" s="51"/>
      <c r="S49" s="51"/>
      <c r="T49" s="51"/>
      <c r="U49" s="51"/>
      <c r="V49" s="51"/>
      <c r="W49" s="51"/>
      <c r="X49" s="51"/>
      <c r="Y49" s="51"/>
      <c r="Z49" s="51"/>
    </row>
    <row r="50" spans="1:26" ht="14.25" customHeight="1" x14ac:dyDescent="0.3">
      <c r="A50" s="77"/>
      <c r="B50" s="81"/>
      <c r="C50" s="80"/>
      <c r="D50" s="82"/>
      <c r="E50" s="80"/>
      <c r="F50" s="48"/>
      <c r="G50" s="80"/>
      <c r="H50" s="80"/>
      <c r="I50" s="80"/>
      <c r="J50" s="51"/>
      <c r="K50" s="51"/>
      <c r="L50" s="51"/>
      <c r="M50" s="51"/>
      <c r="N50" s="51"/>
      <c r="O50" s="51"/>
      <c r="P50" s="51"/>
      <c r="Q50" s="51"/>
      <c r="R50" s="51"/>
      <c r="S50" s="51"/>
      <c r="T50" s="51"/>
      <c r="U50" s="51"/>
      <c r="V50" s="51"/>
      <c r="W50" s="51"/>
      <c r="X50" s="51"/>
      <c r="Y50" s="51"/>
      <c r="Z50" s="51"/>
    </row>
    <row r="51" spans="1:26" ht="14.25" customHeight="1" x14ac:dyDescent="0.3">
      <c r="A51" s="77"/>
      <c r="B51" s="81"/>
      <c r="C51" s="80"/>
      <c r="D51" s="82"/>
      <c r="E51" s="80"/>
      <c r="F51" s="48"/>
      <c r="G51" s="80"/>
      <c r="H51" s="80"/>
      <c r="I51" s="80"/>
      <c r="J51" s="51"/>
      <c r="K51" s="51"/>
      <c r="L51" s="51"/>
      <c r="M51" s="51"/>
      <c r="N51" s="51"/>
      <c r="O51" s="51"/>
      <c r="P51" s="51"/>
      <c r="Q51" s="51"/>
      <c r="R51" s="51"/>
      <c r="S51" s="51"/>
      <c r="T51" s="51"/>
      <c r="U51" s="51"/>
      <c r="V51" s="51"/>
      <c r="W51" s="51"/>
      <c r="X51" s="51"/>
      <c r="Y51" s="51"/>
      <c r="Z51" s="51"/>
    </row>
    <row r="52" spans="1:26" ht="14.25" customHeight="1" x14ac:dyDescent="0.3">
      <c r="A52" s="77"/>
      <c r="B52" s="80"/>
      <c r="C52" s="80"/>
      <c r="D52" s="82"/>
      <c r="E52" s="80"/>
      <c r="F52" s="218"/>
      <c r="G52" s="194"/>
      <c r="H52" s="194"/>
      <c r="I52" s="194"/>
      <c r="J52" s="51"/>
      <c r="K52" s="51"/>
      <c r="L52" s="51"/>
      <c r="M52" s="51"/>
      <c r="N52" s="51"/>
      <c r="O52" s="51"/>
      <c r="P52" s="51"/>
      <c r="Q52" s="51"/>
      <c r="R52" s="51"/>
      <c r="S52" s="51"/>
      <c r="T52" s="51"/>
      <c r="U52" s="51"/>
      <c r="V52" s="51"/>
      <c r="W52" s="51"/>
      <c r="X52" s="51"/>
      <c r="Y52" s="51"/>
      <c r="Z52" s="51"/>
    </row>
    <row r="53" spans="1:26" ht="14.25" customHeight="1" x14ac:dyDescent="0.3">
      <c r="A53" s="77"/>
      <c r="B53" s="80"/>
      <c r="C53" s="80"/>
      <c r="D53" s="82"/>
      <c r="E53" s="80"/>
      <c r="F53" s="213" t="s">
        <v>175</v>
      </c>
      <c r="G53" s="194"/>
      <c r="H53" s="194"/>
      <c r="I53" s="194"/>
      <c r="J53" s="51"/>
      <c r="K53" s="51"/>
      <c r="L53" s="51"/>
      <c r="M53" s="51"/>
      <c r="N53" s="51"/>
      <c r="O53" s="51"/>
      <c r="P53" s="51"/>
      <c r="Q53" s="51"/>
      <c r="R53" s="51"/>
      <c r="S53" s="51"/>
      <c r="T53" s="51"/>
      <c r="U53" s="51"/>
      <c r="V53" s="51"/>
      <c r="W53" s="51"/>
      <c r="X53" s="51"/>
      <c r="Y53" s="51"/>
      <c r="Z53" s="51"/>
    </row>
    <row r="54" spans="1:26" ht="14.25" customHeight="1" x14ac:dyDescent="0.3">
      <c r="A54" s="77"/>
      <c r="B54" s="83" t="s">
        <v>176</v>
      </c>
      <c r="C54" s="80"/>
      <c r="D54" s="82"/>
      <c r="E54" s="80"/>
      <c r="F54" s="80"/>
      <c r="G54" s="80"/>
      <c r="H54" s="80"/>
      <c r="I54" s="80"/>
      <c r="J54" s="51"/>
      <c r="K54" s="51"/>
      <c r="L54" s="51"/>
      <c r="M54" s="51"/>
      <c r="N54" s="51"/>
      <c r="O54" s="51"/>
      <c r="P54" s="51"/>
      <c r="Q54" s="51"/>
      <c r="R54" s="51"/>
      <c r="S54" s="51"/>
      <c r="T54" s="51"/>
      <c r="U54" s="51"/>
      <c r="V54" s="51"/>
      <c r="W54" s="51"/>
      <c r="X54" s="51"/>
      <c r="Y54" s="51"/>
      <c r="Z54" s="51"/>
    </row>
    <row r="55" spans="1:26" ht="14.25" customHeight="1" x14ac:dyDescent="0.3">
      <c r="A55" s="77"/>
      <c r="B55" s="233" t="s">
        <v>177</v>
      </c>
      <c r="C55" s="194"/>
      <c r="D55" s="194"/>
      <c r="E55" s="194"/>
      <c r="F55" s="194"/>
      <c r="G55" s="194"/>
      <c r="H55" s="194"/>
      <c r="I55" s="194"/>
      <c r="J55" s="51"/>
      <c r="K55" s="51"/>
      <c r="L55" s="51"/>
      <c r="M55" s="51"/>
      <c r="N55" s="51"/>
      <c r="O55" s="51"/>
      <c r="P55" s="51"/>
      <c r="Q55" s="51"/>
      <c r="R55" s="51"/>
      <c r="S55" s="51"/>
      <c r="T55" s="51"/>
      <c r="U55" s="51"/>
      <c r="V55" s="51"/>
      <c r="W55" s="51"/>
      <c r="X55" s="51"/>
      <c r="Y55" s="51"/>
      <c r="Z55" s="51"/>
    </row>
    <row r="56" spans="1:26" ht="14.25" customHeight="1" x14ac:dyDescent="0.3">
      <c r="A56" s="77"/>
      <c r="B56" s="233" t="s">
        <v>178</v>
      </c>
      <c r="C56" s="194"/>
      <c r="D56" s="194"/>
      <c r="E56" s="194"/>
      <c r="F56" s="194"/>
      <c r="G56" s="194"/>
      <c r="H56" s="194"/>
      <c r="I56" s="194"/>
      <c r="J56" s="51"/>
      <c r="K56" s="51"/>
      <c r="L56" s="51"/>
      <c r="M56" s="51"/>
      <c r="N56" s="51"/>
      <c r="O56" s="51"/>
      <c r="P56" s="51"/>
      <c r="Q56" s="51"/>
      <c r="R56" s="51"/>
      <c r="S56" s="51"/>
      <c r="T56" s="51"/>
      <c r="U56" s="51"/>
      <c r="V56" s="51"/>
      <c r="W56" s="51"/>
      <c r="X56" s="51"/>
      <c r="Y56" s="51"/>
      <c r="Z56" s="51"/>
    </row>
    <row r="57" spans="1:26" ht="14.25" customHeight="1" x14ac:dyDescent="0.3">
      <c r="A57" s="77"/>
      <c r="B57" s="233" t="s">
        <v>179</v>
      </c>
      <c r="C57" s="194"/>
      <c r="D57" s="194"/>
      <c r="E57" s="194"/>
      <c r="F57" s="194"/>
      <c r="G57" s="194"/>
      <c r="H57" s="194"/>
      <c r="I57" s="194"/>
      <c r="J57" s="51"/>
      <c r="K57" s="51"/>
      <c r="L57" s="51"/>
      <c r="M57" s="51"/>
      <c r="N57" s="51"/>
      <c r="O57" s="51"/>
      <c r="P57" s="51"/>
      <c r="Q57" s="51"/>
      <c r="R57" s="51"/>
      <c r="S57" s="51"/>
      <c r="T57" s="51"/>
      <c r="U57" s="51"/>
      <c r="V57" s="51"/>
      <c r="W57" s="51"/>
      <c r="X57" s="51"/>
      <c r="Y57" s="51"/>
      <c r="Z57" s="51"/>
    </row>
    <row r="58" spans="1:26" ht="26.25" customHeight="1" x14ac:dyDescent="0.3">
      <c r="A58" s="77"/>
      <c r="B58" s="81"/>
      <c r="C58" s="80"/>
      <c r="D58" s="216" t="s">
        <v>263</v>
      </c>
      <c r="E58" s="194"/>
      <c r="F58" s="194"/>
      <c r="G58" s="194"/>
      <c r="H58" s="194"/>
      <c r="I58" s="194"/>
      <c r="J58" s="51"/>
      <c r="K58" s="51"/>
      <c r="L58" s="51"/>
      <c r="M58" s="51"/>
      <c r="N58" s="51"/>
      <c r="O58" s="51"/>
      <c r="P58" s="51"/>
      <c r="Q58" s="51"/>
      <c r="R58" s="51"/>
      <c r="S58" s="51"/>
      <c r="T58" s="51"/>
      <c r="U58" s="51"/>
      <c r="V58" s="51"/>
      <c r="W58" s="51"/>
      <c r="X58" s="51"/>
      <c r="Y58" s="51"/>
      <c r="Z58" s="51"/>
    </row>
    <row r="59" spans="1:26" ht="14.25" customHeight="1" x14ac:dyDescent="0.3">
      <c r="A59" s="84"/>
      <c r="B59" s="51"/>
      <c r="C59" s="51"/>
      <c r="D59" s="85"/>
      <c r="E59" s="51"/>
      <c r="F59" s="51"/>
      <c r="G59" s="51"/>
      <c r="H59" s="51"/>
      <c r="I59" s="51"/>
      <c r="J59" s="51"/>
      <c r="K59" s="51"/>
      <c r="L59" s="51"/>
      <c r="M59" s="51"/>
      <c r="N59" s="51"/>
      <c r="O59" s="51"/>
      <c r="P59" s="51"/>
      <c r="Q59" s="51"/>
      <c r="R59" s="51"/>
      <c r="S59" s="51"/>
      <c r="T59" s="51"/>
      <c r="U59" s="51"/>
      <c r="V59" s="51"/>
      <c r="W59" s="51"/>
      <c r="X59" s="51"/>
      <c r="Y59" s="51"/>
      <c r="Z59" s="51"/>
    </row>
    <row r="60" spans="1:26" ht="14.25" customHeight="1" x14ac:dyDescent="0.3">
      <c r="A60" s="84"/>
      <c r="B60" s="51"/>
      <c r="C60" s="51"/>
      <c r="D60" s="85"/>
      <c r="E60" s="51"/>
      <c r="F60" s="51"/>
      <c r="G60" s="51"/>
      <c r="H60" s="51"/>
      <c r="I60" s="51"/>
      <c r="J60" s="51"/>
      <c r="K60" s="51"/>
      <c r="L60" s="51"/>
      <c r="M60" s="51"/>
      <c r="N60" s="51"/>
      <c r="O60" s="51"/>
      <c r="P60" s="51"/>
      <c r="Q60" s="51"/>
      <c r="R60" s="51"/>
      <c r="S60" s="51"/>
      <c r="T60" s="51"/>
      <c r="U60" s="51"/>
      <c r="V60" s="51"/>
      <c r="W60" s="51"/>
      <c r="X60" s="51"/>
      <c r="Y60" s="51"/>
      <c r="Z60" s="51"/>
    </row>
    <row r="61" spans="1:26" ht="14.25" customHeight="1" x14ac:dyDescent="0.3">
      <c r="A61" s="84"/>
      <c r="B61" s="51"/>
      <c r="C61" s="51"/>
      <c r="D61" s="85"/>
      <c r="E61" s="51"/>
      <c r="F61" s="51"/>
      <c r="G61" s="51"/>
      <c r="H61" s="51"/>
      <c r="I61" s="51"/>
      <c r="J61" s="51"/>
      <c r="K61" s="51"/>
      <c r="L61" s="51"/>
      <c r="M61" s="51"/>
      <c r="N61" s="51"/>
      <c r="O61" s="51"/>
      <c r="P61" s="51"/>
      <c r="Q61" s="51"/>
      <c r="R61" s="51"/>
      <c r="S61" s="51"/>
      <c r="T61" s="51"/>
      <c r="U61" s="51"/>
      <c r="V61" s="51"/>
      <c r="W61" s="51"/>
      <c r="X61" s="51"/>
      <c r="Y61" s="51"/>
      <c r="Z61" s="51"/>
    </row>
    <row r="62" spans="1:26" ht="14.25" customHeight="1" x14ac:dyDescent="0.3">
      <c r="A62" s="84"/>
      <c r="B62" s="51"/>
      <c r="C62" s="51"/>
      <c r="D62" s="85"/>
      <c r="E62" s="51"/>
      <c r="F62" s="51"/>
      <c r="G62" s="51"/>
      <c r="H62" s="51"/>
      <c r="I62" s="51"/>
      <c r="J62" s="51"/>
      <c r="K62" s="51"/>
      <c r="L62" s="51"/>
      <c r="M62" s="51"/>
      <c r="N62" s="51"/>
      <c r="O62" s="51"/>
      <c r="P62" s="51"/>
      <c r="Q62" s="51"/>
      <c r="R62" s="51"/>
      <c r="S62" s="51"/>
      <c r="T62" s="51"/>
      <c r="U62" s="51"/>
      <c r="V62" s="51"/>
      <c r="W62" s="51"/>
      <c r="X62" s="51"/>
      <c r="Y62" s="51"/>
      <c r="Z62" s="51"/>
    </row>
    <row r="63" spans="1:26" ht="14.25" customHeight="1" x14ac:dyDescent="0.3">
      <c r="A63" s="84"/>
      <c r="B63" s="51"/>
      <c r="C63" s="51"/>
      <c r="D63" s="85"/>
      <c r="E63" s="51"/>
      <c r="F63" s="51"/>
      <c r="G63" s="51"/>
      <c r="H63" s="51"/>
      <c r="I63" s="51"/>
      <c r="J63" s="51"/>
      <c r="K63" s="51"/>
      <c r="L63" s="51"/>
      <c r="M63" s="51"/>
      <c r="N63" s="51"/>
      <c r="O63" s="51"/>
      <c r="P63" s="51"/>
      <c r="Q63" s="51"/>
      <c r="R63" s="51"/>
      <c r="S63" s="51"/>
      <c r="T63" s="51"/>
      <c r="U63" s="51"/>
      <c r="V63" s="51"/>
      <c r="W63" s="51"/>
      <c r="X63" s="51"/>
      <c r="Y63" s="51"/>
      <c r="Z63" s="51"/>
    </row>
    <row r="64" spans="1:26" ht="14.25" customHeight="1" x14ac:dyDescent="0.3">
      <c r="A64" s="84"/>
      <c r="B64" s="51"/>
      <c r="C64" s="51"/>
      <c r="D64" s="85"/>
      <c r="E64" s="51"/>
      <c r="F64" s="51"/>
      <c r="G64" s="51"/>
      <c r="H64" s="51"/>
      <c r="I64" s="51"/>
      <c r="J64" s="51"/>
      <c r="K64" s="51"/>
      <c r="L64" s="51"/>
      <c r="M64" s="51"/>
      <c r="N64" s="51"/>
      <c r="O64" s="51"/>
      <c r="P64" s="51"/>
      <c r="Q64" s="51"/>
      <c r="R64" s="51"/>
      <c r="S64" s="51"/>
      <c r="T64" s="51"/>
      <c r="U64" s="51"/>
      <c r="V64" s="51"/>
      <c r="W64" s="51"/>
      <c r="X64" s="51"/>
      <c r="Y64" s="51"/>
      <c r="Z64" s="51"/>
    </row>
    <row r="65" spans="1:26" ht="14.25" customHeight="1" x14ac:dyDescent="0.3">
      <c r="A65" s="84"/>
      <c r="B65" s="51"/>
      <c r="C65" s="51"/>
      <c r="D65" s="85"/>
      <c r="E65" s="51"/>
      <c r="F65" s="51"/>
      <c r="G65" s="51"/>
      <c r="H65" s="51"/>
      <c r="I65" s="51"/>
      <c r="J65" s="51"/>
      <c r="K65" s="51"/>
      <c r="L65" s="51"/>
      <c r="M65" s="51"/>
      <c r="N65" s="51"/>
      <c r="O65" s="51"/>
      <c r="P65" s="51"/>
      <c r="Q65" s="51"/>
      <c r="R65" s="51"/>
      <c r="S65" s="51"/>
      <c r="T65" s="51"/>
      <c r="U65" s="51"/>
      <c r="V65" s="51"/>
      <c r="W65" s="51"/>
      <c r="X65" s="51"/>
      <c r="Y65" s="51"/>
      <c r="Z65" s="51"/>
    </row>
    <row r="66" spans="1:26" ht="14.25" customHeight="1" x14ac:dyDescent="0.3">
      <c r="A66" s="84"/>
      <c r="B66" s="51"/>
      <c r="C66" s="51"/>
      <c r="D66" s="85"/>
      <c r="E66" s="51"/>
      <c r="F66" s="51"/>
      <c r="G66" s="51"/>
      <c r="H66" s="51"/>
      <c r="I66" s="51"/>
      <c r="J66" s="51"/>
      <c r="K66" s="51"/>
      <c r="L66" s="51"/>
      <c r="M66" s="51"/>
      <c r="N66" s="51"/>
      <c r="O66" s="51"/>
      <c r="P66" s="51"/>
      <c r="Q66" s="51"/>
      <c r="R66" s="51"/>
      <c r="S66" s="51"/>
      <c r="T66" s="51"/>
      <c r="U66" s="51"/>
      <c r="V66" s="51"/>
      <c r="W66" s="51"/>
      <c r="X66" s="51"/>
      <c r="Y66" s="51"/>
      <c r="Z66" s="51"/>
    </row>
    <row r="67" spans="1:26" ht="14.25" customHeight="1" x14ac:dyDescent="0.3">
      <c r="A67" s="84"/>
      <c r="B67" s="51"/>
      <c r="C67" s="51"/>
      <c r="D67" s="85"/>
      <c r="E67" s="51"/>
      <c r="F67" s="51"/>
      <c r="G67" s="51"/>
      <c r="H67" s="51"/>
      <c r="I67" s="51"/>
      <c r="J67" s="51"/>
      <c r="K67" s="51"/>
      <c r="L67" s="51"/>
      <c r="M67" s="51"/>
      <c r="N67" s="51"/>
      <c r="O67" s="51"/>
      <c r="P67" s="51"/>
      <c r="Q67" s="51"/>
      <c r="R67" s="51"/>
      <c r="S67" s="51"/>
      <c r="T67" s="51"/>
      <c r="U67" s="51"/>
      <c r="V67" s="51"/>
      <c r="W67" s="51"/>
      <c r="X67" s="51"/>
      <c r="Y67" s="51"/>
      <c r="Z67" s="51"/>
    </row>
    <row r="68" spans="1:26" ht="14.25" customHeight="1" x14ac:dyDescent="0.3">
      <c r="A68" s="84"/>
      <c r="B68" s="51"/>
      <c r="C68" s="51"/>
      <c r="D68" s="85"/>
      <c r="E68" s="51"/>
      <c r="F68" s="51"/>
      <c r="G68" s="51"/>
      <c r="H68" s="51"/>
      <c r="I68" s="51"/>
      <c r="J68" s="51"/>
      <c r="K68" s="51"/>
      <c r="L68" s="51"/>
      <c r="M68" s="51"/>
      <c r="N68" s="51"/>
      <c r="O68" s="51"/>
      <c r="P68" s="51"/>
      <c r="Q68" s="51"/>
      <c r="R68" s="51"/>
      <c r="S68" s="51"/>
      <c r="T68" s="51"/>
      <c r="U68" s="51"/>
      <c r="V68" s="51"/>
      <c r="W68" s="51"/>
      <c r="X68" s="51"/>
      <c r="Y68" s="51"/>
      <c r="Z68" s="51"/>
    </row>
    <row r="69" spans="1:26" ht="14.25" customHeight="1" x14ac:dyDescent="0.3">
      <c r="A69" s="84"/>
      <c r="B69" s="51"/>
      <c r="C69" s="51"/>
      <c r="D69" s="85"/>
      <c r="E69" s="51"/>
      <c r="F69" s="51"/>
      <c r="G69" s="51"/>
      <c r="H69" s="51"/>
      <c r="I69" s="51"/>
      <c r="J69" s="51"/>
      <c r="K69" s="51"/>
      <c r="L69" s="51"/>
      <c r="M69" s="51"/>
      <c r="N69" s="51"/>
      <c r="O69" s="51"/>
      <c r="P69" s="51"/>
      <c r="Q69" s="51"/>
      <c r="R69" s="51"/>
      <c r="S69" s="51"/>
      <c r="T69" s="51"/>
      <c r="U69" s="51"/>
      <c r="V69" s="51"/>
      <c r="W69" s="51"/>
      <c r="X69" s="51"/>
      <c r="Y69" s="51"/>
      <c r="Z69" s="51"/>
    </row>
    <row r="70" spans="1:26" ht="14.25" customHeight="1" x14ac:dyDescent="0.3">
      <c r="A70" s="84"/>
      <c r="B70" s="51"/>
      <c r="C70" s="51"/>
      <c r="D70" s="85"/>
      <c r="E70" s="51"/>
      <c r="F70" s="51"/>
      <c r="G70" s="51"/>
      <c r="H70" s="51"/>
      <c r="I70" s="51"/>
      <c r="J70" s="51"/>
      <c r="K70" s="51"/>
      <c r="L70" s="51"/>
      <c r="M70" s="51"/>
      <c r="N70" s="51"/>
      <c r="O70" s="51"/>
      <c r="P70" s="51"/>
      <c r="Q70" s="51"/>
      <c r="R70" s="51"/>
      <c r="S70" s="51"/>
      <c r="T70" s="51"/>
      <c r="U70" s="51"/>
      <c r="V70" s="51"/>
      <c r="W70" s="51"/>
      <c r="X70" s="51"/>
      <c r="Y70" s="51"/>
      <c r="Z70" s="51"/>
    </row>
    <row r="71" spans="1:26" ht="14.25" customHeight="1" x14ac:dyDescent="0.3">
      <c r="A71" s="84"/>
      <c r="B71" s="51"/>
      <c r="C71" s="51"/>
      <c r="D71" s="85"/>
      <c r="E71" s="51"/>
      <c r="F71" s="51"/>
      <c r="G71" s="51"/>
      <c r="H71" s="51"/>
      <c r="I71" s="51"/>
      <c r="J71" s="51"/>
      <c r="K71" s="51"/>
      <c r="L71" s="51"/>
      <c r="M71" s="51"/>
      <c r="N71" s="51"/>
      <c r="O71" s="51"/>
      <c r="P71" s="51"/>
      <c r="Q71" s="51"/>
      <c r="R71" s="51"/>
      <c r="S71" s="51"/>
      <c r="T71" s="51"/>
      <c r="U71" s="51"/>
      <c r="V71" s="51"/>
      <c r="W71" s="51"/>
      <c r="X71" s="51"/>
      <c r="Y71" s="51"/>
      <c r="Z71" s="51"/>
    </row>
    <row r="72" spans="1:26" ht="14.25" customHeight="1" x14ac:dyDescent="0.3">
      <c r="A72" s="84"/>
      <c r="B72" s="51"/>
      <c r="C72" s="51"/>
      <c r="D72" s="85"/>
      <c r="E72" s="51"/>
      <c r="F72" s="51"/>
      <c r="G72" s="51"/>
      <c r="H72" s="51"/>
      <c r="I72" s="51"/>
      <c r="J72" s="51"/>
      <c r="K72" s="51"/>
      <c r="L72" s="51"/>
      <c r="M72" s="51"/>
      <c r="N72" s="51"/>
      <c r="O72" s="51"/>
      <c r="P72" s="51"/>
      <c r="Q72" s="51"/>
      <c r="R72" s="51"/>
      <c r="S72" s="51"/>
      <c r="T72" s="51"/>
      <c r="U72" s="51"/>
      <c r="V72" s="51"/>
      <c r="W72" s="51"/>
      <c r="X72" s="51"/>
      <c r="Y72" s="51"/>
      <c r="Z72" s="51"/>
    </row>
    <row r="73" spans="1:26" ht="14.25" customHeight="1" x14ac:dyDescent="0.3">
      <c r="A73" s="84"/>
      <c r="B73" s="51"/>
      <c r="C73" s="51"/>
      <c r="D73" s="85"/>
      <c r="E73" s="51"/>
      <c r="F73" s="51"/>
      <c r="G73" s="51"/>
      <c r="H73" s="51"/>
      <c r="I73" s="51"/>
      <c r="J73" s="51"/>
      <c r="K73" s="51"/>
      <c r="L73" s="51"/>
      <c r="M73" s="51"/>
      <c r="N73" s="51"/>
      <c r="O73" s="51"/>
      <c r="P73" s="51"/>
      <c r="Q73" s="51"/>
      <c r="R73" s="51"/>
      <c r="S73" s="51"/>
      <c r="T73" s="51"/>
      <c r="U73" s="51"/>
      <c r="V73" s="51"/>
      <c r="W73" s="51"/>
      <c r="X73" s="51"/>
      <c r="Y73" s="51"/>
      <c r="Z73" s="51"/>
    </row>
    <row r="74" spans="1:26" ht="14.25" customHeight="1" x14ac:dyDescent="0.3">
      <c r="A74" s="84"/>
      <c r="B74" s="51"/>
      <c r="C74" s="51"/>
      <c r="D74" s="85"/>
      <c r="E74" s="51"/>
      <c r="F74" s="51"/>
      <c r="G74" s="51"/>
      <c r="H74" s="51"/>
      <c r="I74" s="51"/>
      <c r="J74" s="51"/>
      <c r="K74" s="51"/>
      <c r="L74" s="51"/>
      <c r="M74" s="51"/>
      <c r="N74" s="51"/>
      <c r="O74" s="51"/>
      <c r="P74" s="51"/>
      <c r="Q74" s="51"/>
      <c r="R74" s="51"/>
      <c r="S74" s="51"/>
      <c r="T74" s="51"/>
      <c r="U74" s="51"/>
      <c r="V74" s="51"/>
      <c r="W74" s="51"/>
      <c r="X74" s="51"/>
      <c r="Y74" s="51"/>
      <c r="Z74" s="51"/>
    </row>
    <row r="75" spans="1:26" ht="14.25" customHeight="1" x14ac:dyDescent="0.3">
      <c r="A75" s="84"/>
      <c r="B75" s="51"/>
      <c r="C75" s="51"/>
      <c r="D75" s="85"/>
      <c r="E75" s="51"/>
      <c r="F75" s="51"/>
      <c r="G75" s="51"/>
      <c r="H75" s="51"/>
      <c r="I75" s="51"/>
      <c r="J75" s="51"/>
      <c r="K75" s="51"/>
      <c r="L75" s="51"/>
      <c r="M75" s="51"/>
      <c r="N75" s="51"/>
      <c r="O75" s="51"/>
      <c r="P75" s="51"/>
      <c r="Q75" s="51"/>
      <c r="R75" s="51"/>
      <c r="S75" s="51"/>
      <c r="T75" s="51"/>
      <c r="U75" s="51"/>
      <c r="V75" s="51"/>
      <c r="W75" s="51"/>
      <c r="X75" s="51"/>
      <c r="Y75" s="51"/>
      <c r="Z75" s="51"/>
    </row>
    <row r="76" spans="1:26" ht="14.25" customHeight="1" x14ac:dyDescent="0.3">
      <c r="A76" s="84"/>
      <c r="B76" s="51"/>
      <c r="C76" s="51"/>
      <c r="D76" s="85"/>
      <c r="E76" s="51"/>
      <c r="F76" s="51"/>
      <c r="G76" s="51"/>
      <c r="H76" s="51"/>
      <c r="I76" s="51"/>
      <c r="J76" s="51"/>
      <c r="K76" s="51"/>
      <c r="L76" s="51"/>
      <c r="M76" s="51"/>
      <c r="N76" s="51"/>
      <c r="O76" s="51"/>
      <c r="P76" s="51"/>
      <c r="Q76" s="51"/>
      <c r="R76" s="51"/>
      <c r="S76" s="51"/>
      <c r="T76" s="51"/>
      <c r="U76" s="51"/>
      <c r="V76" s="51"/>
      <c r="W76" s="51"/>
      <c r="X76" s="51"/>
      <c r="Y76" s="51"/>
      <c r="Z76" s="51"/>
    </row>
    <row r="77" spans="1:26" ht="14.25" customHeight="1" x14ac:dyDescent="0.3">
      <c r="A77" s="84"/>
      <c r="B77" s="51"/>
      <c r="C77" s="51"/>
      <c r="D77" s="85"/>
      <c r="E77" s="51"/>
      <c r="F77" s="51"/>
      <c r="G77" s="51"/>
      <c r="H77" s="51"/>
      <c r="I77" s="51"/>
      <c r="J77" s="51"/>
      <c r="K77" s="51"/>
      <c r="L77" s="51"/>
      <c r="M77" s="51"/>
      <c r="N77" s="51"/>
      <c r="O77" s="51"/>
      <c r="P77" s="51"/>
      <c r="Q77" s="51"/>
      <c r="R77" s="51"/>
      <c r="S77" s="51"/>
      <c r="T77" s="51"/>
      <c r="U77" s="51"/>
      <c r="V77" s="51"/>
      <c r="W77" s="51"/>
      <c r="X77" s="51"/>
      <c r="Y77" s="51"/>
      <c r="Z77" s="51"/>
    </row>
    <row r="78" spans="1:26" ht="14.25" customHeight="1" x14ac:dyDescent="0.3">
      <c r="A78" s="84"/>
      <c r="B78" s="51"/>
      <c r="C78" s="51"/>
      <c r="D78" s="85"/>
      <c r="E78" s="51"/>
      <c r="F78" s="51"/>
      <c r="G78" s="51"/>
      <c r="H78" s="51"/>
      <c r="I78" s="51"/>
      <c r="J78" s="51"/>
      <c r="K78" s="51"/>
      <c r="L78" s="51"/>
      <c r="M78" s="51"/>
      <c r="N78" s="51"/>
      <c r="O78" s="51"/>
      <c r="P78" s="51"/>
      <c r="Q78" s="51"/>
      <c r="R78" s="51"/>
      <c r="S78" s="51"/>
      <c r="T78" s="51"/>
      <c r="U78" s="51"/>
      <c r="V78" s="51"/>
      <c r="W78" s="51"/>
      <c r="X78" s="51"/>
      <c r="Y78" s="51"/>
      <c r="Z78" s="51"/>
    </row>
    <row r="79" spans="1:26" ht="14.25" customHeight="1" x14ac:dyDescent="0.3">
      <c r="A79" s="84"/>
      <c r="B79" s="51"/>
      <c r="C79" s="51"/>
      <c r="D79" s="85"/>
      <c r="E79" s="51"/>
      <c r="F79" s="51"/>
      <c r="G79" s="51"/>
      <c r="H79" s="51"/>
      <c r="I79" s="51"/>
      <c r="J79" s="51"/>
      <c r="K79" s="51"/>
      <c r="L79" s="51"/>
      <c r="M79" s="51"/>
      <c r="N79" s="51"/>
      <c r="O79" s="51"/>
      <c r="P79" s="51"/>
      <c r="Q79" s="51"/>
      <c r="R79" s="51"/>
      <c r="S79" s="51"/>
      <c r="T79" s="51"/>
      <c r="U79" s="51"/>
      <c r="V79" s="51"/>
      <c r="W79" s="51"/>
      <c r="X79" s="51"/>
      <c r="Y79" s="51"/>
      <c r="Z79" s="51"/>
    </row>
    <row r="80" spans="1:26" ht="14.25" customHeight="1" x14ac:dyDescent="0.3">
      <c r="A80" s="84"/>
      <c r="B80" s="51"/>
      <c r="C80" s="51"/>
      <c r="D80" s="85"/>
      <c r="E80" s="51"/>
      <c r="F80" s="51"/>
      <c r="G80" s="51"/>
      <c r="H80" s="51"/>
      <c r="I80" s="51"/>
      <c r="J80" s="51"/>
      <c r="K80" s="51"/>
      <c r="L80" s="51"/>
      <c r="M80" s="51"/>
      <c r="N80" s="51"/>
      <c r="O80" s="51"/>
      <c r="P80" s="51"/>
      <c r="Q80" s="51"/>
      <c r="R80" s="51"/>
      <c r="S80" s="51"/>
      <c r="T80" s="51"/>
      <c r="U80" s="51"/>
      <c r="V80" s="51"/>
      <c r="W80" s="51"/>
      <c r="X80" s="51"/>
      <c r="Y80" s="51"/>
      <c r="Z80" s="51"/>
    </row>
    <row r="81" spans="1:26" ht="14.25" customHeight="1" x14ac:dyDescent="0.3">
      <c r="A81" s="84"/>
      <c r="B81" s="51"/>
      <c r="C81" s="51"/>
      <c r="D81" s="85"/>
      <c r="E81" s="51"/>
      <c r="F81" s="51"/>
      <c r="G81" s="51"/>
      <c r="H81" s="51"/>
      <c r="I81" s="51"/>
      <c r="J81" s="51"/>
      <c r="K81" s="51"/>
      <c r="L81" s="51"/>
      <c r="M81" s="51"/>
      <c r="N81" s="51"/>
      <c r="O81" s="51"/>
      <c r="P81" s="51"/>
      <c r="Q81" s="51"/>
      <c r="R81" s="51"/>
      <c r="S81" s="51"/>
      <c r="T81" s="51"/>
      <c r="U81" s="51"/>
      <c r="V81" s="51"/>
      <c r="W81" s="51"/>
      <c r="X81" s="51"/>
      <c r="Y81" s="51"/>
      <c r="Z81" s="51"/>
    </row>
    <row r="82" spans="1:26" ht="14.25" customHeight="1" x14ac:dyDescent="0.3">
      <c r="A82" s="84"/>
      <c r="B82" s="51"/>
      <c r="C82" s="51"/>
      <c r="D82" s="85"/>
      <c r="E82" s="51"/>
      <c r="F82" s="51"/>
      <c r="G82" s="51"/>
      <c r="H82" s="51"/>
      <c r="I82" s="51"/>
      <c r="J82" s="51"/>
      <c r="K82" s="51"/>
      <c r="L82" s="51"/>
      <c r="M82" s="51"/>
      <c r="N82" s="51"/>
      <c r="O82" s="51"/>
      <c r="P82" s="51"/>
      <c r="Q82" s="51"/>
      <c r="R82" s="51"/>
      <c r="S82" s="51"/>
      <c r="T82" s="51"/>
      <c r="U82" s="51"/>
      <c r="V82" s="51"/>
      <c r="W82" s="51"/>
      <c r="X82" s="51"/>
      <c r="Y82" s="51"/>
      <c r="Z82" s="51"/>
    </row>
    <row r="83" spans="1:26" ht="14.25" customHeight="1" x14ac:dyDescent="0.3">
      <c r="A83" s="84"/>
      <c r="B83" s="51"/>
      <c r="C83" s="51"/>
      <c r="D83" s="85"/>
      <c r="E83" s="51"/>
      <c r="F83" s="51"/>
      <c r="G83" s="51"/>
      <c r="H83" s="51"/>
      <c r="I83" s="51"/>
      <c r="J83" s="51"/>
      <c r="K83" s="51"/>
      <c r="L83" s="51"/>
      <c r="M83" s="51"/>
      <c r="N83" s="51"/>
      <c r="O83" s="51"/>
      <c r="P83" s="51"/>
      <c r="Q83" s="51"/>
      <c r="R83" s="51"/>
      <c r="S83" s="51"/>
      <c r="T83" s="51"/>
      <c r="U83" s="51"/>
      <c r="V83" s="51"/>
      <c r="W83" s="51"/>
      <c r="X83" s="51"/>
      <c r="Y83" s="51"/>
      <c r="Z83" s="51"/>
    </row>
    <row r="84" spans="1:26" ht="14.25" customHeight="1" x14ac:dyDescent="0.3">
      <c r="A84" s="84"/>
      <c r="B84" s="51"/>
      <c r="C84" s="51"/>
      <c r="D84" s="85"/>
      <c r="E84" s="51"/>
      <c r="F84" s="51"/>
      <c r="G84" s="51"/>
      <c r="H84" s="51"/>
      <c r="I84" s="51"/>
      <c r="J84" s="51"/>
      <c r="K84" s="51"/>
      <c r="L84" s="51"/>
      <c r="M84" s="51"/>
      <c r="N84" s="51"/>
      <c r="O84" s="51"/>
      <c r="P84" s="51"/>
      <c r="Q84" s="51"/>
      <c r="R84" s="51"/>
      <c r="S84" s="51"/>
      <c r="T84" s="51"/>
      <c r="U84" s="51"/>
      <c r="V84" s="51"/>
      <c r="W84" s="51"/>
      <c r="X84" s="51"/>
      <c r="Y84" s="51"/>
      <c r="Z84" s="51"/>
    </row>
    <row r="85" spans="1:26" ht="14.25" customHeight="1" x14ac:dyDescent="0.3">
      <c r="A85" s="84"/>
      <c r="B85" s="51"/>
      <c r="C85" s="51"/>
      <c r="D85" s="85"/>
      <c r="E85" s="51"/>
      <c r="F85" s="51"/>
      <c r="G85" s="51"/>
      <c r="H85" s="51"/>
      <c r="I85" s="51"/>
      <c r="J85" s="51"/>
      <c r="K85" s="51"/>
      <c r="L85" s="51"/>
      <c r="M85" s="51"/>
      <c r="N85" s="51"/>
      <c r="O85" s="51"/>
      <c r="P85" s="51"/>
      <c r="Q85" s="51"/>
      <c r="R85" s="51"/>
      <c r="S85" s="51"/>
      <c r="T85" s="51"/>
      <c r="U85" s="51"/>
      <c r="V85" s="51"/>
      <c r="W85" s="51"/>
      <c r="X85" s="51"/>
      <c r="Y85" s="51"/>
      <c r="Z85" s="51"/>
    </row>
    <row r="86" spans="1:26" ht="14.25" customHeight="1" x14ac:dyDescent="0.3">
      <c r="A86" s="84"/>
      <c r="B86" s="51"/>
      <c r="C86" s="51"/>
      <c r="D86" s="85"/>
      <c r="E86" s="51"/>
      <c r="F86" s="51"/>
      <c r="G86" s="51"/>
      <c r="H86" s="51"/>
      <c r="I86" s="51"/>
      <c r="J86" s="51"/>
      <c r="K86" s="51"/>
      <c r="L86" s="51"/>
      <c r="M86" s="51"/>
      <c r="N86" s="51"/>
      <c r="O86" s="51"/>
      <c r="P86" s="51"/>
      <c r="Q86" s="51"/>
      <c r="R86" s="51"/>
      <c r="S86" s="51"/>
      <c r="T86" s="51"/>
      <c r="U86" s="51"/>
      <c r="V86" s="51"/>
      <c r="W86" s="51"/>
      <c r="X86" s="51"/>
      <c r="Y86" s="51"/>
      <c r="Z86" s="51"/>
    </row>
    <row r="87" spans="1:26" ht="14.25" customHeight="1" x14ac:dyDescent="0.3">
      <c r="A87" s="84"/>
      <c r="B87" s="51"/>
      <c r="C87" s="51"/>
      <c r="D87" s="85"/>
      <c r="E87" s="51"/>
      <c r="F87" s="51"/>
      <c r="G87" s="51"/>
      <c r="H87" s="51"/>
      <c r="I87" s="51"/>
      <c r="J87" s="51"/>
      <c r="K87" s="51"/>
      <c r="L87" s="51"/>
      <c r="M87" s="51"/>
      <c r="N87" s="51"/>
      <c r="O87" s="51"/>
      <c r="P87" s="51"/>
      <c r="Q87" s="51"/>
      <c r="R87" s="51"/>
      <c r="S87" s="51"/>
      <c r="T87" s="51"/>
      <c r="U87" s="51"/>
      <c r="V87" s="51"/>
      <c r="W87" s="51"/>
      <c r="X87" s="51"/>
      <c r="Y87" s="51"/>
      <c r="Z87" s="51"/>
    </row>
    <row r="88" spans="1:26" ht="14.25" customHeight="1" x14ac:dyDescent="0.3">
      <c r="A88" s="84"/>
      <c r="B88" s="51"/>
      <c r="C88" s="51"/>
      <c r="D88" s="85"/>
      <c r="E88" s="51"/>
      <c r="F88" s="51"/>
      <c r="G88" s="51"/>
      <c r="H88" s="51"/>
      <c r="I88" s="51"/>
      <c r="J88" s="51"/>
      <c r="K88" s="51"/>
      <c r="L88" s="51"/>
      <c r="M88" s="51"/>
      <c r="N88" s="51"/>
      <c r="O88" s="51"/>
      <c r="P88" s="51"/>
      <c r="Q88" s="51"/>
      <c r="R88" s="51"/>
      <c r="S88" s="51"/>
      <c r="T88" s="51"/>
      <c r="U88" s="51"/>
      <c r="V88" s="51"/>
      <c r="W88" s="51"/>
      <c r="X88" s="51"/>
      <c r="Y88" s="51"/>
      <c r="Z88" s="51"/>
    </row>
    <row r="89" spans="1:26" ht="14.25" customHeight="1" x14ac:dyDescent="0.3">
      <c r="A89" s="84"/>
      <c r="B89" s="51"/>
      <c r="C89" s="51"/>
      <c r="D89" s="85"/>
      <c r="E89" s="51"/>
      <c r="F89" s="51"/>
      <c r="G89" s="51"/>
      <c r="H89" s="51"/>
      <c r="I89" s="51"/>
      <c r="J89" s="51"/>
      <c r="K89" s="51"/>
      <c r="L89" s="51"/>
      <c r="M89" s="51"/>
      <c r="N89" s="51"/>
      <c r="O89" s="51"/>
      <c r="P89" s="51"/>
      <c r="Q89" s="51"/>
      <c r="R89" s="51"/>
      <c r="S89" s="51"/>
      <c r="T89" s="51"/>
      <c r="U89" s="51"/>
      <c r="V89" s="51"/>
      <c r="W89" s="51"/>
      <c r="X89" s="51"/>
      <c r="Y89" s="51"/>
      <c r="Z89" s="51"/>
    </row>
    <row r="90" spans="1:26" ht="14.25" customHeight="1" x14ac:dyDescent="0.3">
      <c r="A90" s="84"/>
      <c r="B90" s="51"/>
      <c r="C90" s="51"/>
      <c r="D90" s="85"/>
      <c r="E90" s="51"/>
      <c r="F90" s="51"/>
      <c r="G90" s="51"/>
      <c r="H90" s="51"/>
      <c r="I90" s="51"/>
      <c r="J90" s="51"/>
      <c r="K90" s="51"/>
      <c r="L90" s="51"/>
      <c r="M90" s="51"/>
      <c r="N90" s="51"/>
      <c r="O90" s="51"/>
      <c r="P90" s="51"/>
      <c r="Q90" s="51"/>
      <c r="R90" s="51"/>
      <c r="S90" s="51"/>
      <c r="T90" s="51"/>
      <c r="U90" s="51"/>
      <c r="V90" s="51"/>
      <c r="W90" s="51"/>
      <c r="X90" s="51"/>
      <c r="Y90" s="51"/>
      <c r="Z90" s="51"/>
    </row>
    <row r="91" spans="1:26" ht="14.25" customHeight="1" x14ac:dyDescent="0.3">
      <c r="A91" s="84"/>
      <c r="B91" s="51"/>
      <c r="C91" s="51"/>
      <c r="D91" s="85"/>
      <c r="E91" s="51"/>
      <c r="F91" s="51"/>
      <c r="G91" s="51"/>
      <c r="H91" s="51"/>
      <c r="I91" s="51"/>
      <c r="J91" s="51"/>
      <c r="K91" s="51"/>
      <c r="L91" s="51"/>
      <c r="M91" s="51"/>
      <c r="N91" s="51"/>
      <c r="O91" s="51"/>
      <c r="P91" s="51"/>
      <c r="Q91" s="51"/>
      <c r="R91" s="51"/>
      <c r="S91" s="51"/>
      <c r="T91" s="51"/>
      <c r="U91" s="51"/>
      <c r="V91" s="51"/>
      <c r="W91" s="51"/>
      <c r="X91" s="51"/>
      <c r="Y91" s="51"/>
      <c r="Z91" s="51"/>
    </row>
    <row r="92" spans="1:26" ht="14.25" customHeight="1" x14ac:dyDescent="0.3">
      <c r="A92" s="84"/>
      <c r="B92" s="51"/>
      <c r="C92" s="51"/>
      <c r="D92" s="85"/>
      <c r="E92" s="51"/>
      <c r="F92" s="51"/>
      <c r="G92" s="51"/>
      <c r="H92" s="51"/>
      <c r="I92" s="51"/>
      <c r="J92" s="51"/>
      <c r="K92" s="51"/>
      <c r="L92" s="51"/>
      <c r="M92" s="51"/>
      <c r="N92" s="51"/>
      <c r="O92" s="51"/>
      <c r="P92" s="51"/>
      <c r="Q92" s="51"/>
      <c r="R92" s="51"/>
      <c r="S92" s="51"/>
      <c r="T92" s="51"/>
      <c r="U92" s="51"/>
      <c r="V92" s="51"/>
      <c r="W92" s="51"/>
      <c r="X92" s="51"/>
      <c r="Y92" s="51"/>
      <c r="Z92" s="51"/>
    </row>
    <row r="93" spans="1:26" ht="14.25" customHeight="1" x14ac:dyDescent="0.3">
      <c r="A93" s="84"/>
      <c r="B93" s="51"/>
      <c r="C93" s="51"/>
      <c r="D93" s="85"/>
      <c r="E93" s="51"/>
      <c r="F93" s="51"/>
      <c r="G93" s="51"/>
      <c r="H93" s="51"/>
      <c r="I93" s="51"/>
      <c r="J93" s="51"/>
      <c r="K93" s="51"/>
      <c r="L93" s="51"/>
      <c r="M93" s="51"/>
      <c r="N93" s="51"/>
      <c r="O93" s="51"/>
      <c r="P93" s="51"/>
      <c r="Q93" s="51"/>
      <c r="R93" s="51"/>
      <c r="S93" s="51"/>
      <c r="T93" s="51"/>
      <c r="U93" s="51"/>
      <c r="V93" s="51"/>
      <c r="W93" s="51"/>
      <c r="X93" s="51"/>
      <c r="Y93" s="51"/>
      <c r="Z93" s="51"/>
    </row>
    <row r="94" spans="1:26" ht="14.25" customHeight="1" x14ac:dyDescent="0.3">
      <c r="A94" s="84"/>
      <c r="B94" s="51"/>
      <c r="C94" s="51"/>
      <c r="D94" s="85"/>
      <c r="E94" s="51"/>
      <c r="F94" s="51"/>
      <c r="G94" s="51"/>
      <c r="H94" s="51"/>
      <c r="I94" s="51"/>
      <c r="J94" s="51"/>
      <c r="K94" s="51"/>
      <c r="L94" s="51"/>
      <c r="M94" s="51"/>
      <c r="N94" s="51"/>
      <c r="O94" s="51"/>
      <c r="P94" s="51"/>
      <c r="Q94" s="51"/>
      <c r="R94" s="51"/>
      <c r="S94" s="51"/>
      <c r="T94" s="51"/>
      <c r="U94" s="51"/>
      <c r="V94" s="51"/>
      <c r="W94" s="51"/>
      <c r="X94" s="51"/>
      <c r="Y94" s="51"/>
      <c r="Z94" s="51"/>
    </row>
    <row r="95" spans="1:26" ht="14.25" customHeight="1" x14ac:dyDescent="0.3">
      <c r="A95" s="84"/>
      <c r="B95" s="51"/>
      <c r="C95" s="51"/>
      <c r="D95" s="85"/>
      <c r="E95" s="51"/>
      <c r="F95" s="51"/>
      <c r="G95" s="51"/>
      <c r="H95" s="51"/>
      <c r="I95" s="51"/>
      <c r="J95" s="51"/>
      <c r="K95" s="51"/>
      <c r="L95" s="51"/>
      <c r="M95" s="51"/>
      <c r="N95" s="51"/>
      <c r="O95" s="51"/>
      <c r="P95" s="51"/>
      <c r="Q95" s="51"/>
      <c r="R95" s="51"/>
      <c r="S95" s="51"/>
      <c r="T95" s="51"/>
      <c r="U95" s="51"/>
      <c r="V95" s="51"/>
      <c r="W95" s="51"/>
      <c r="X95" s="51"/>
      <c r="Y95" s="51"/>
      <c r="Z95" s="51"/>
    </row>
    <row r="96" spans="1:26" ht="14.25" customHeight="1" x14ac:dyDescent="0.3">
      <c r="A96" s="84"/>
      <c r="B96" s="51"/>
      <c r="C96" s="51"/>
      <c r="D96" s="85"/>
      <c r="E96" s="51"/>
      <c r="F96" s="51"/>
      <c r="G96" s="51"/>
      <c r="H96" s="51"/>
      <c r="I96" s="51"/>
      <c r="J96" s="51"/>
      <c r="K96" s="51"/>
      <c r="L96" s="51"/>
      <c r="M96" s="51"/>
      <c r="N96" s="51"/>
      <c r="O96" s="51"/>
      <c r="P96" s="51"/>
      <c r="Q96" s="51"/>
      <c r="R96" s="51"/>
      <c r="S96" s="51"/>
      <c r="T96" s="51"/>
      <c r="U96" s="51"/>
      <c r="V96" s="51"/>
      <c r="W96" s="51"/>
      <c r="X96" s="51"/>
      <c r="Y96" s="51"/>
      <c r="Z96" s="51"/>
    </row>
    <row r="97" spans="1:26" ht="14.25" customHeight="1" x14ac:dyDescent="0.3">
      <c r="A97" s="84"/>
      <c r="B97" s="51"/>
      <c r="C97" s="51"/>
      <c r="D97" s="85"/>
      <c r="E97" s="51"/>
      <c r="F97" s="51"/>
      <c r="G97" s="51"/>
      <c r="H97" s="51"/>
      <c r="I97" s="51"/>
      <c r="J97" s="51"/>
      <c r="K97" s="51"/>
      <c r="L97" s="51"/>
      <c r="M97" s="51"/>
      <c r="N97" s="51"/>
      <c r="O97" s="51"/>
      <c r="P97" s="51"/>
      <c r="Q97" s="51"/>
      <c r="R97" s="51"/>
      <c r="S97" s="51"/>
      <c r="T97" s="51"/>
      <c r="U97" s="51"/>
      <c r="V97" s="51"/>
      <c r="W97" s="51"/>
      <c r="X97" s="51"/>
      <c r="Y97" s="51"/>
      <c r="Z97" s="51"/>
    </row>
    <row r="98" spans="1:26" ht="14.25" customHeight="1" x14ac:dyDescent="0.3">
      <c r="A98" s="84"/>
      <c r="B98" s="51"/>
      <c r="C98" s="51"/>
      <c r="D98" s="85"/>
      <c r="E98" s="51"/>
      <c r="F98" s="51"/>
      <c r="G98" s="51"/>
      <c r="H98" s="51"/>
      <c r="I98" s="51"/>
      <c r="J98" s="51"/>
      <c r="K98" s="51"/>
      <c r="L98" s="51"/>
      <c r="M98" s="51"/>
      <c r="N98" s="51"/>
      <c r="O98" s="51"/>
      <c r="P98" s="51"/>
      <c r="Q98" s="51"/>
      <c r="R98" s="51"/>
      <c r="S98" s="51"/>
      <c r="T98" s="51"/>
      <c r="U98" s="51"/>
      <c r="V98" s="51"/>
      <c r="W98" s="51"/>
      <c r="X98" s="51"/>
      <c r="Y98" s="51"/>
      <c r="Z98" s="51"/>
    </row>
    <row r="99" spans="1:26" ht="14.25" customHeight="1" x14ac:dyDescent="0.3">
      <c r="A99" s="84"/>
      <c r="B99" s="51"/>
      <c r="C99" s="51"/>
      <c r="D99" s="85"/>
      <c r="E99" s="51"/>
      <c r="F99" s="51"/>
      <c r="G99" s="51"/>
      <c r="H99" s="51"/>
      <c r="I99" s="51"/>
      <c r="J99" s="51"/>
      <c r="K99" s="51"/>
      <c r="L99" s="51"/>
      <c r="M99" s="51"/>
      <c r="N99" s="51"/>
      <c r="O99" s="51"/>
      <c r="P99" s="51"/>
      <c r="Q99" s="51"/>
      <c r="R99" s="51"/>
      <c r="S99" s="51"/>
      <c r="T99" s="51"/>
      <c r="U99" s="51"/>
      <c r="V99" s="51"/>
      <c r="W99" s="51"/>
      <c r="X99" s="51"/>
      <c r="Y99" s="51"/>
      <c r="Z99" s="51"/>
    </row>
    <row r="100" spans="1:26" ht="14.25" customHeight="1" x14ac:dyDescent="0.3">
      <c r="A100" s="84"/>
      <c r="B100" s="51"/>
      <c r="C100" s="51"/>
      <c r="D100" s="85"/>
      <c r="E100" s="51"/>
      <c r="F100" s="51"/>
      <c r="G100" s="51"/>
      <c r="H100" s="51"/>
      <c r="I100" s="51"/>
      <c r="J100" s="51"/>
      <c r="K100" s="51"/>
      <c r="L100" s="51"/>
      <c r="M100" s="51"/>
      <c r="N100" s="51"/>
      <c r="O100" s="51"/>
      <c r="P100" s="51"/>
      <c r="Q100" s="51"/>
      <c r="R100" s="51"/>
      <c r="S100" s="51"/>
      <c r="T100" s="51"/>
      <c r="U100" s="51"/>
      <c r="V100" s="51"/>
      <c r="W100" s="51"/>
      <c r="X100" s="51"/>
      <c r="Y100" s="51"/>
      <c r="Z100" s="51"/>
    </row>
    <row r="101" spans="1:26" ht="14.25" customHeight="1" x14ac:dyDescent="0.3">
      <c r="A101" s="84"/>
      <c r="B101" s="51"/>
      <c r="C101" s="51"/>
      <c r="D101" s="85"/>
      <c r="E101" s="51"/>
      <c r="F101" s="51"/>
      <c r="G101" s="51"/>
      <c r="H101" s="51"/>
      <c r="I101" s="51"/>
      <c r="J101" s="51"/>
      <c r="K101" s="51"/>
      <c r="L101" s="51"/>
      <c r="M101" s="51"/>
      <c r="N101" s="51"/>
      <c r="O101" s="51"/>
      <c r="P101" s="51"/>
      <c r="Q101" s="51"/>
      <c r="R101" s="51"/>
      <c r="S101" s="51"/>
      <c r="T101" s="51"/>
      <c r="U101" s="51"/>
      <c r="V101" s="51"/>
      <c r="W101" s="51"/>
      <c r="X101" s="51"/>
      <c r="Y101" s="51"/>
      <c r="Z101" s="51"/>
    </row>
    <row r="102" spans="1:26" ht="14.25" customHeight="1" x14ac:dyDescent="0.3">
      <c r="A102" s="84"/>
      <c r="B102" s="51"/>
      <c r="C102" s="51"/>
      <c r="D102" s="85"/>
      <c r="E102" s="51"/>
      <c r="F102" s="51"/>
      <c r="G102" s="51"/>
      <c r="H102" s="51"/>
      <c r="I102" s="51"/>
      <c r="J102" s="51"/>
      <c r="K102" s="51"/>
      <c r="L102" s="51"/>
      <c r="M102" s="51"/>
      <c r="N102" s="51"/>
      <c r="O102" s="51"/>
      <c r="P102" s="51"/>
      <c r="Q102" s="51"/>
      <c r="R102" s="51"/>
      <c r="S102" s="51"/>
      <c r="T102" s="51"/>
      <c r="U102" s="51"/>
      <c r="V102" s="51"/>
      <c r="W102" s="51"/>
      <c r="X102" s="51"/>
      <c r="Y102" s="51"/>
      <c r="Z102" s="51"/>
    </row>
    <row r="103" spans="1:26" ht="14.25" customHeight="1" x14ac:dyDescent="0.3">
      <c r="A103" s="84"/>
      <c r="B103" s="51"/>
      <c r="C103" s="51"/>
      <c r="D103" s="85"/>
      <c r="E103" s="51"/>
      <c r="F103" s="51"/>
      <c r="G103" s="51"/>
      <c r="H103" s="51"/>
      <c r="I103" s="51"/>
      <c r="J103" s="51"/>
      <c r="K103" s="51"/>
      <c r="L103" s="51"/>
      <c r="M103" s="51"/>
      <c r="N103" s="51"/>
      <c r="O103" s="51"/>
      <c r="P103" s="51"/>
      <c r="Q103" s="51"/>
      <c r="R103" s="51"/>
      <c r="S103" s="51"/>
      <c r="T103" s="51"/>
      <c r="U103" s="51"/>
      <c r="V103" s="51"/>
      <c r="W103" s="51"/>
      <c r="X103" s="51"/>
      <c r="Y103" s="51"/>
      <c r="Z103" s="51"/>
    </row>
    <row r="104" spans="1:26" ht="14.25" customHeight="1" x14ac:dyDescent="0.3">
      <c r="A104" s="84"/>
      <c r="B104" s="51"/>
      <c r="C104" s="51"/>
      <c r="D104" s="85"/>
      <c r="E104" s="51"/>
      <c r="F104" s="51"/>
      <c r="G104" s="51"/>
      <c r="H104" s="51"/>
      <c r="I104" s="51"/>
      <c r="J104" s="51"/>
      <c r="K104" s="51"/>
      <c r="L104" s="51"/>
      <c r="M104" s="51"/>
      <c r="N104" s="51"/>
      <c r="O104" s="51"/>
      <c r="P104" s="51"/>
      <c r="Q104" s="51"/>
      <c r="R104" s="51"/>
      <c r="S104" s="51"/>
      <c r="T104" s="51"/>
      <c r="U104" s="51"/>
      <c r="V104" s="51"/>
      <c r="W104" s="51"/>
      <c r="X104" s="51"/>
      <c r="Y104" s="51"/>
      <c r="Z104" s="51"/>
    </row>
    <row r="105" spans="1:26" ht="14.25" customHeight="1" x14ac:dyDescent="0.3">
      <c r="A105" s="84"/>
      <c r="B105" s="51"/>
      <c r="C105" s="51"/>
      <c r="D105" s="85"/>
      <c r="E105" s="51"/>
      <c r="F105" s="51"/>
      <c r="G105" s="51"/>
      <c r="H105" s="51"/>
      <c r="I105" s="51"/>
      <c r="J105" s="51"/>
      <c r="K105" s="51"/>
      <c r="L105" s="51"/>
      <c r="M105" s="51"/>
      <c r="N105" s="51"/>
      <c r="O105" s="51"/>
      <c r="P105" s="51"/>
      <c r="Q105" s="51"/>
      <c r="R105" s="51"/>
      <c r="S105" s="51"/>
      <c r="T105" s="51"/>
      <c r="U105" s="51"/>
      <c r="V105" s="51"/>
      <c r="W105" s="51"/>
      <c r="X105" s="51"/>
      <c r="Y105" s="51"/>
      <c r="Z105" s="51"/>
    </row>
    <row r="106" spans="1:26" ht="14.25" customHeight="1" x14ac:dyDescent="0.3">
      <c r="A106" s="84"/>
      <c r="B106" s="51"/>
      <c r="C106" s="51"/>
      <c r="D106" s="85"/>
      <c r="E106" s="51"/>
      <c r="F106" s="51"/>
      <c r="G106" s="51"/>
      <c r="H106" s="51"/>
      <c r="I106" s="51"/>
      <c r="J106" s="51"/>
      <c r="K106" s="51"/>
      <c r="L106" s="51"/>
      <c r="M106" s="51"/>
      <c r="N106" s="51"/>
      <c r="O106" s="51"/>
      <c r="P106" s="51"/>
      <c r="Q106" s="51"/>
      <c r="R106" s="51"/>
      <c r="S106" s="51"/>
      <c r="T106" s="51"/>
      <c r="U106" s="51"/>
      <c r="V106" s="51"/>
      <c r="W106" s="51"/>
      <c r="X106" s="51"/>
      <c r="Y106" s="51"/>
      <c r="Z106" s="51"/>
    </row>
    <row r="107" spans="1:26" ht="14.25" customHeight="1" x14ac:dyDescent="0.3">
      <c r="A107" s="84"/>
      <c r="B107" s="51"/>
      <c r="C107" s="51"/>
      <c r="D107" s="85"/>
      <c r="E107" s="51"/>
      <c r="F107" s="51"/>
      <c r="G107" s="51"/>
      <c r="H107" s="51"/>
      <c r="I107" s="51"/>
      <c r="J107" s="51"/>
      <c r="K107" s="51"/>
      <c r="L107" s="51"/>
      <c r="M107" s="51"/>
      <c r="N107" s="51"/>
      <c r="O107" s="51"/>
      <c r="P107" s="51"/>
      <c r="Q107" s="51"/>
      <c r="R107" s="51"/>
      <c r="S107" s="51"/>
      <c r="T107" s="51"/>
      <c r="U107" s="51"/>
      <c r="V107" s="51"/>
      <c r="W107" s="51"/>
      <c r="X107" s="51"/>
      <c r="Y107" s="51"/>
      <c r="Z107" s="51"/>
    </row>
    <row r="108" spans="1:26" ht="14.25" customHeight="1" x14ac:dyDescent="0.3">
      <c r="A108" s="84"/>
      <c r="B108" s="51"/>
      <c r="C108" s="51"/>
      <c r="D108" s="85"/>
      <c r="E108" s="51"/>
      <c r="F108" s="51"/>
      <c r="G108" s="51"/>
      <c r="H108" s="51"/>
      <c r="I108" s="51"/>
      <c r="J108" s="51"/>
      <c r="K108" s="51"/>
      <c r="L108" s="51"/>
      <c r="M108" s="51"/>
      <c r="N108" s="51"/>
      <c r="O108" s="51"/>
      <c r="P108" s="51"/>
      <c r="Q108" s="51"/>
      <c r="R108" s="51"/>
      <c r="S108" s="51"/>
      <c r="T108" s="51"/>
      <c r="U108" s="51"/>
      <c r="V108" s="51"/>
      <c r="W108" s="51"/>
      <c r="X108" s="51"/>
      <c r="Y108" s="51"/>
      <c r="Z108" s="51"/>
    </row>
    <row r="109" spans="1:26" ht="14.25" customHeight="1" x14ac:dyDescent="0.3">
      <c r="A109" s="84"/>
      <c r="B109" s="51"/>
      <c r="C109" s="51"/>
      <c r="D109" s="85"/>
      <c r="E109" s="51"/>
      <c r="F109" s="51"/>
      <c r="G109" s="51"/>
      <c r="H109" s="51"/>
      <c r="I109" s="51"/>
      <c r="J109" s="51"/>
      <c r="K109" s="51"/>
      <c r="L109" s="51"/>
      <c r="M109" s="51"/>
      <c r="N109" s="51"/>
      <c r="O109" s="51"/>
      <c r="P109" s="51"/>
      <c r="Q109" s="51"/>
      <c r="R109" s="51"/>
      <c r="S109" s="51"/>
      <c r="T109" s="51"/>
      <c r="U109" s="51"/>
      <c r="V109" s="51"/>
      <c r="W109" s="51"/>
      <c r="X109" s="51"/>
      <c r="Y109" s="51"/>
      <c r="Z109" s="51"/>
    </row>
    <row r="110" spans="1:26" ht="14.25" customHeight="1" x14ac:dyDescent="0.3">
      <c r="A110" s="84"/>
      <c r="B110" s="51"/>
      <c r="C110" s="51"/>
      <c r="D110" s="85"/>
      <c r="E110" s="51"/>
      <c r="F110" s="51"/>
      <c r="G110" s="51"/>
      <c r="H110" s="51"/>
      <c r="I110" s="51"/>
      <c r="J110" s="51"/>
      <c r="K110" s="51"/>
      <c r="L110" s="51"/>
      <c r="M110" s="51"/>
      <c r="N110" s="51"/>
      <c r="O110" s="51"/>
      <c r="P110" s="51"/>
      <c r="Q110" s="51"/>
      <c r="R110" s="51"/>
      <c r="S110" s="51"/>
      <c r="T110" s="51"/>
      <c r="U110" s="51"/>
      <c r="V110" s="51"/>
      <c r="W110" s="51"/>
      <c r="X110" s="51"/>
      <c r="Y110" s="51"/>
      <c r="Z110" s="51"/>
    </row>
    <row r="111" spans="1:26" ht="14.25" customHeight="1" x14ac:dyDescent="0.3">
      <c r="A111" s="84"/>
      <c r="B111" s="51"/>
      <c r="C111" s="51"/>
      <c r="D111" s="85"/>
      <c r="E111" s="51"/>
      <c r="F111" s="51"/>
      <c r="G111" s="51"/>
      <c r="H111" s="51"/>
      <c r="I111" s="51"/>
      <c r="J111" s="51"/>
      <c r="K111" s="51"/>
      <c r="L111" s="51"/>
      <c r="M111" s="51"/>
      <c r="N111" s="51"/>
      <c r="O111" s="51"/>
      <c r="P111" s="51"/>
      <c r="Q111" s="51"/>
      <c r="R111" s="51"/>
      <c r="S111" s="51"/>
      <c r="T111" s="51"/>
      <c r="U111" s="51"/>
      <c r="V111" s="51"/>
      <c r="W111" s="51"/>
      <c r="X111" s="51"/>
      <c r="Y111" s="51"/>
      <c r="Z111" s="51"/>
    </row>
    <row r="112" spans="1:26" ht="14.25" customHeight="1" x14ac:dyDescent="0.3">
      <c r="A112" s="84"/>
      <c r="B112" s="51"/>
      <c r="C112" s="51"/>
      <c r="D112" s="85"/>
      <c r="E112" s="51"/>
      <c r="F112" s="51"/>
      <c r="G112" s="51"/>
      <c r="H112" s="51"/>
      <c r="I112" s="51"/>
      <c r="J112" s="51"/>
      <c r="K112" s="51"/>
      <c r="L112" s="51"/>
      <c r="M112" s="51"/>
      <c r="N112" s="51"/>
      <c r="O112" s="51"/>
      <c r="P112" s="51"/>
      <c r="Q112" s="51"/>
      <c r="R112" s="51"/>
      <c r="S112" s="51"/>
      <c r="T112" s="51"/>
      <c r="U112" s="51"/>
      <c r="V112" s="51"/>
      <c r="W112" s="51"/>
      <c r="X112" s="51"/>
      <c r="Y112" s="51"/>
      <c r="Z112" s="51"/>
    </row>
    <row r="113" spans="1:26" ht="14.25" customHeight="1" x14ac:dyDescent="0.3">
      <c r="A113" s="84"/>
      <c r="B113" s="51"/>
      <c r="C113" s="51"/>
      <c r="D113" s="85"/>
      <c r="E113" s="51"/>
      <c r="F113" s="51"/>
      <c r="G113" s="51"/>
      <c r="H113" s="51"/>
      <c r="I113" s="51"/>
      <c r="J113" s="51"/>
      <c r="K113" s="51"/>
      <c r="L113" s="51"/>
      <c r="M113" s="51"/>
      <c r="N113" s="51"/>
      <c r="O113" s="51"/>
      <c r="P113" s="51"/>
      <c r="Q113" s="51"/>
      <c r="R113" s="51"/>
      <c r="S113" s="51"/>
      <c r="T113" s="51"/>
      <c r="U113" s="51"/>
      <c r="V113" s="51"/>
      <c r="W113" s="51"/>
      <c r="X113" s="51"/>
      <c r="Y113" s="51"/>
      <c r="Z113" s="51"/>
    </row>
    <row r="114" spans="1:26" ht="14.25" customHeight="1" x14ac:dyDescent="0.3">
      <c r="A114" s="84"/>
      <c r="B114" s="51"/>
      <c r="C114" s="51"/>
      <c r="D114" s="85"/>
      <c r="E114" s="51"/>
      <c r="F114" s="51"/>
      <c r="G114" s="51"/>
      <c r="H114" s="51"/>
      <c r="I114" s="51"/>
      <c r="J114" s="51"/>
      <c r="K114" s="51"/>
      <c r="L114" s="51"/>
      <c r="M114" s="51"/>
      <c r="N114" s="51"/>
      <c r="O114" s="51"/>
      <c r="P114" s="51"/>
      <c r="Q114" s="51"/>
      <c r="R114" s="51"/>
      <c r="S114" s="51"/>
      <c r="T114" s="51"/>
      <c r="U114" s="51"/>
      <c r="V114" s="51"/>
      <c r="W114" s="51"/>
      <c r="X114" s="51"/>
      <c r="Y114" s="51"/>
      <c r="Z114" s="51"/>
    </row>
    <row r="115" spans="1:26" ht="14.25" customHeight="1" x14ac:dyDescent="0.3">
      <c r="A115" s="84"/>
      <c r="B115" s="51"/>
      <c r="C115" s="51"/>
      <c r="D115" s="85"/>
      <c r="E115" s="51"/>
      <c r="F115" s="51"/>
      <c r="G115" s="51"/>
      <c r="H115" s="51"/>
      <c r="I115" s="51"/>
      <c r="J115" s="51"/>
      <c r="K115" s="51"/>
      <c r="L115" s="51"/>
      <c r="M115" s="51"/>
      <c r="N115" s="51"/>
      <c r="O115" s="51"/>
      <c r="P115" s="51"/>
      <c r="Q115" s="51"/>
      <c r="R115" s="51"/>
      <c r="S115" s="51"/>
      <c r="T115" s="51"/>
      <c r="U115" s="51"/>
      <c r="V115" s="51"/>
      <c r="W115" s="51"/>
      <c r="X115" s="51"/>
      <c r="Y115" s="51"/>
      <c r="Z115" s="51"/>
    </row>
    <row r="116" spans="1:26" ht="14.25" customHeight="1" x14ac:dyDescent="0.3">
      <c r="A116" s="84"/>
      <c r="B116" s="51"/>
      <c r="C116" s="51"/>
      <c r="D116" s="85"/>
      <c r="E116" s="51"/>
      <c r="F116" s="51"/>
      <c r="G116" s="51"/>
      <c r="H116" s="51"/>
      <c r="I116" s="51"/>
      <c r="J116" s="51"/>
      <c r="K116" s="51"/>
      <c r="L116" s="51"/>
      <c r="M116" s="51"/>
      <c r="N116" s="51"/>
      <c r="O116" s="51"/>
      <c r="P116" s="51"/>
      <c r="Q116" s="51"/>
      <c r="R116" s="51"/>
      <c r="S116" s="51"/>
      <c r="T116" s="51"/>
      <c r="U116" s="51"/>
      <c r="V116" s="51"/>
      <c r="W116" s="51"/>
      <c r="X116" s="51"/>
      <c r="Y116" s="51"/>
      <c r="Z116" s="51"/>
    </row>
    <row r="117" spans="1:26" ht="14.25" customHeight="1" x14ac:dyDescent="0.3">
      <c r="A117" s="84"/>
      <c r="B117" s="51"/>
      <c r="C117" s="51"/>
      <c r="D117" s="85"/>
      <c r="E117" s="51"/>
      <c r="F117" s="51"/>
      <c r="G117" s="51"/>
      <c r="H117" s="51"/>
      <c r="I117" s="51"/>
      <c r="J117" s="51"/>
      <c r="K117" s="51"/>
      <c r="L117" s="51"/>
      <c r="M117" s="51"/>
      <c r="N117" s="51"/>
      <c r="O117" s="51"/>
      <c r="P117" s="51"/>
      <c r="Q117" s="51"/>
      <c r="R117" s="51"/>
      <c r="S117" s="51"/>
      <c r="T117" s="51"/>
      <c r="U117" s="51"/>
      <c r="V117" s="51"/>
      <c r="W117" s="51"/>
      <c r="X117" s="51"/>
      <c r="Y117" s="51"/>
      <c r="Z117" s="51"/>
    </row>
    <row r="118" spans="1:26" ht="14.25" customHeight="1" x14ac:dyDescent="0.3">
      <c r="A118" s="84"/>
      <c r="B118" s="51"/>
      <c r="C118" s="51"/>
      <c r="D118" s="85"/>
      <c r="E118" s="51"/>
      <c r="F118" s="51"/>
      <c r="G118" s="51"/>
      <c r="H118" s="51"/>
      <c r="I118" s="51"/>
      <c r="J118" s="51"/>
      <c r="K118" s="51"/>
      <c r="L118" s="51"/>
      <c r="M118" s="51"/>
      <c r="N118" s="51"/>
      <c r="O118" s="51"/>
      <c r="P118" s="51"/>
      <c r="Q118" s="51"/>
      <c r="R118" s="51"/>
      <c r="S118" s="51"/>
      <c r="T118" s="51"/>
      <c r="U118" s="51"/>
      <c r="V118" s="51"/>
      <c r="W118" s="51"/>
      <c r="X118" s="51"/>
      <c r="Y118" s="51"/>
      <c r="Z118" s="51"/>
    </row>
    <row r="119" spans="1:26" ht="14.25" customHeight="1" x14ac:dyDescent="0.3">
      <c r="A119" s="84"/>
      <c r="B119" s="51"/>
      <c r="C119" s="51"/>
      <c r="D119" s="85"/>
      <c r="E119" s="51"/>
      <c r="F119" s="51"/>
      <c r="G119" s="51"/>
      <c r="H119" s="51"/>
      <c r="I119" s="51"/>
      <c r="J119" s="51"/>
      <c r="K119" s="51"/>
      <c r="L119" s="51"/>
      <c r="M119" s="51"/>
      <c r="N119" s="51"/>
      <c r="O119" s="51"/>
      <c r="P119" s="51"/>
      <c r="Q119" s="51"/>
      <c r="R119" s="51"/>
      <c r="S119" s="51"/>
      <c r="T119" s="51"/>
      <c r="U119" s="51"/>
      <c r="V119" s="51"/>
      <c r="W119" s="51"/>
      <c r="X119" s="51"/>
      <c r="Y119" s="51"/>
      <c r="Z119" s="51"/>
    </row>
    <row r="120" spans="1:26" ht="14.25" customHeight="1" x14ac:dyDescent="0.3">
      <c r="A120" s="84"/>
      <c r="B120" s="51"/>
      <c r="C120" s="51"/>
      <c r="D120" s="85"/>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ht="14.25" customHeight="1" x14ac:dyDescent="0.3">
      <c r="A121" s="84"/>
      <c r="B121" s="51"/>
      <c r="C121" s="51"/>
      <c r="D121" s="85"/>
      <c r="E121" s="51"/>
      <c r="F121" s="51"/>
      <c r="G121" s="51"/>
      <c r="H121" s="51"/>
      <c r="I121" s="51"/>
      <c r="J121" s="51"/>
      <c r="K121" s="51"/>
      <c r="L121" s="51"/>
      <c r="M121" s="51"/>
      <c r="N121" s="51"/>
      <c r="O121" s="51"/>
      <c r="P121" s="51"/>
      <c r="Q121" s="51"/>
      <c r="R121" s="51"/>
      <c r="S121" s="51"/>
      <c r="T121" s="51"/>
      <c r="U121" s="51"/>
      <c r="V121" s="51"/>
      <c r="W121" s="51"/>
      <c r="X121" s="51"/>
      <c r="Y121" s="51"/>
      <c r="Z121" s="51"/>
    </row>
    <row r="122" spans="1:26" ht="14.25" customHeight="1" x14ac:dyDescent="0.3">
      <c r="A122" s="84"/>
      <c r="B122" s="51"/>
      <c r="C122" s="51"/>
      <c r="D122" s="85"/>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ht="14.25" customHeight="1" x14ac:dyDescent="0.3">
      <c r="A123" s="84"/>
      <c r="B123" s="51"/>
      <c r="C123" s="51"/>
      <c r="D123" s="85"/>
      <c r="E123" s="51"/>
      <c r="F123" s="51"/>
      <c r="G123" s="51"/>
      <c r="H123" s="51"/>
      <c r="I123" s="51"/>
      <c r="J123" s="51"/>
      <c r="K123" s="51"/>
      <c r="L123" s="51"/>
      <c r="M123" s="51"/>
      <c r="N123" s="51"/>
      <c r="O123" s="51"/>
      <c r="P123" s="51"/>
      <c r="Q123" s="51"/>
      <c r="R123" s="51"/>
      <c r="S123" s="51"/>
      <c r="T123" s="51"/>
      <c r="U123" s="51"/>
      <c r="V123" s="51"/>
      <c r="W123" s="51"/>
      <c r="X123" s="51"/>
      <c r="Y123" s="51"/>
      <c r="Z123" s="51"/>
    </row>
    <row r="124" spans="1:26" ht="14.25" customHeight="1" x14ac:dyDescent="0.3">
      <c r="A124" s="84"/>
      <c r="B124" s="51"/>
      <c r="C124" s="51"/>
      <c r="D124" s="85"/>
      <c r="E124" s="51"/>
      <c r="F124" s="51"/>
      <c r="G124" s="51"/>
      <c r="H124" s="51"/>
      <c r="I124" s="51"/>
      <c r="J124" s="51"/>
      <c r="K124" s="51"/>
      <c r="L124" s="51"/>
      <c r="M124" s="51"/>
      <c r="N124" s="51"/>
      <c r="O124" s="51"/>
      <c r="P124" s="51"/>
      <c r="Q124" s="51"/>
      <c r="R124" s="51"/>
      <c r="S124" s="51"/>
      <c r="T124" s="51"/>
      <c r="U124" s="51"/>
      <c r="V124" s="51"/>
      <c r="W124" s="51"/>
      <c r="X124" s="51"/>
      <c r="Y124" s="51"/>
      <c r="Z124" s="51"/>
    </row>
    <row r="125" spans="1:26" ht="14.25" customHeight="1" x14ac:dyDescent="0.3">
      <c r="A125" s="84"/>
      <c r="B125" s="51"/>
      <c r="C125" s="51"/>
      <c r="D125" s="85"/>
      <c r="E125" s="51"/>
      <c r="F125" s="51"/>
      <c r="G125" s="51"/>
      <c r="H125" s="51"/>
      <c r="I125" s="51"/>
      <c r="J125" s="51"/>
      <c r="K125" s="51"/>
      <c r="L125" s="51"/>
      <c r="M125" s="51"/>
      <c r="N125" s="51"/>
      <c r="O125" s="51"/>
      <c r="P125" s="51"/>
      <c r="Q125" s="51"/>
      <c r="R125" s="51"/>
      <c r="S125" s="51"/>
      <c r="T125" s="51"/>
      <c r="U125" s="51"/>
      <c r="V125" s="51"/>
      <c r="W125" s="51"/>
      <c r="X125" s="51"/>
      <c r="Y125" s="51"/>
      <c r="Z125" s="51"/>
    </row>
    <row r="126" spans="1:26" ht="14.25" customHeight="1" x14ac:dyDescent="0.3">
      <c r="A126" s="84"/>
      <c r="B126" s="51"/>
      <c r="C126" s="51"/>
      <c r="D126" s="85"/>
      <c r="E126" s="51"/>
      <c r="F126" s="51"/>
      <c r="G126" s="51"/>
      <c r="H126" s="51"/>
      <c r="I126" s="51"/>
      <c r="J126" s="51"/>
      <c r="K126" s="51"/>
      <c r="L126" s="51"/>
      <c r="M126" s="51"/>
      <c r="N126" s="51"/>
      <c r="O126" s="51"/>
      <c r="P126" s="51"/>
      <c r="Q126" s="51"/>
      <c r="R126" s="51"/>
      <c r="S126" s="51"/>
      <c r="T126" s="51"/>
      <c r="U126" s="51"/>
      <c r="V126" s="51"/>
      <c r="W126" s="51"/>
      <c r="X126" s="51"/>
      <c r="Y126" s="51"/>
      <c r="Z126" s="51"/>
    </row>
    <row r="127" spans="1:26" ht="14.25" customHeight="1" x14ac:dyDescent="0.3">
      <c r="A127" s="84"/>
      <c r="B127" s="51"/>
      <c r="C127" s="51"/>
      <c r="D127" s="85"/>
      <c r="E127" s="51"/>
      <c r="F127" s="51"/>
      <c r="G127" s="51"/>
      <c r="H127" s="51"/>
      <c r="I127" s="51"/>
      <c r="J127" s="51"/>
      <c r="K127" s="51"/>
      <c r="L127" s="51"/>
      <c r="M127" s="51"/>
      <c r="N127" s="51"/>
      <c r="O127" s="51"/>
      <c r="P127" s="51"/>
      <c r="Q127" s="51"/>
      <c r="R127" s="51"/>
      <c r="S127" s="51"/>
      <c r="T127" s="51"/>
      <c r="U127" s="51"/>
      <c r="V127" s="51"/>
      <c r="W127" s="51"/>
      <c r="X127" s="51"/>
      <c r="Y127" s="51"/>
      <c r="Z127" s="51"/>
    </row>
    <row r="128" spans="1:26" ht="14.25" customHeight="1" x14ac:dyDescent="0.3">
      <c r="A128" s="84"/>
      <c r="B128" s="51"/>
      <c r="C128" s="51"/>
      <c r="D128" s="85"/>
      <c r="E128" s="51"/>
      <c r="F128" s="51"/>
      <c r="G128" s="51"/>
      <c r="H128" s="51"/>
      <c r="I128" s="51"/>
      <c r="J128" s="51"/>
      <c r="K128" s="51"/>
      <c r="L128" s="51"/>
      <c r="M128" s="51"/>
      <c r="N128" s="51"/>
      <c r="O128" s="51"/>
      <c r="P128" s="51"/>
      <c r="Q128" s="51"/>
      <c r="R128" s="51"/>
      <c r="S128" s="51"/>
      <c r="T128" s="51"/>
      <c r="U128" s="51"/>
      <c r="V128" s="51"/>
      <c r="W128" s="51"/>
      <c r="X128" s="51"/>
      <c r="Y128" s="51"/>
      <c r="Z128" s="51"/>
    </row>
    <row r="129" spans="1:26" ht="14.25" customHeight="1" x14ac:dyDescent="0.3">
      <c r="A129" s="84"/>
      <c r="B129" s="51"/>
      <c r="C129" s="51"/>
      <c r="D129" s="85"/>
      <c r="E129" s="51"/>
      <c r="F129" s="51"/>
      <c r="G129" s="51"/>
      <c r="H129" s="51"/>
      <c r="I129" s="51"/>
      <c r="J129" s="51"/>
      <c r="K129" s="51"/>
      <c r="L129" s="51"/>
      <c r="M129" s="51"/>
      <c r="N129" s="51"/>
      <c r="O129" s="51"/>
      <c r="P129" s="51"/>
      <c r="Q129" s="51"/>
      <c r="R129" s="51"/>
      <c r="S129" s="51"/>
      <c r="T129" s="51"/>
      <c r="U129" s="51"/>
      <c r="V129" s="51"/>
      <c r="W129" s="51"/>
      <c r="X129" s="51"/>
      <c r="Y129" s="51"/>
      <c r="Z129" s="51"/>
    </row>
    <row r="130" spans="1:26" ht="14.25" customHeight="1" x14ac:dyDescent="0.3">
      <c r="A130" s="84"/>
      <c r="B130" s="51"/>
      <c r="C130" s="51"/>
      <c r="D130" s="85"/>
      <c r="E130" s="51"/>
      <c r="F130" s="51"/>
      <c r="G130" s="51"/>
      <c r="H130" s="51"/>
      <c r="I130" s="51"/>
      <c r="J130" s="51"/>
      <c r="K130" s="51"/>
      <c r="L130" s="51"/>
      <c r="M130" s="51"/>
      <c r="N130" s="51"/>
      <c r="O130" s="51"/>
      <c r="P130" s="51"/>
      <c r="Q130" s="51"/>
      <c r="R130" s="51"/>
      <c r="S130" s="51"/>
      <c r="T130" s="51"/>
      <c r="U130" s="51"/>
      <c r="V130" s="51"/>
      <c r="W130" s="51"/>
      <c r="X130" s="51"/>
      <c r="Y130" s="51"/>
      <c r="Z130" s="51"/>
    </row>
    <row r="131" spans="1:26" ht="14.25" customHeight="1" x14ac:dyDescent="0.3">
      <c r="A131" s="84"/>
      <c r="B131" s="51"/>
      <c r="C131" s="51"/>
      <c r="D131" s="85"/>
      <c r="E131" s="51"/>
      <c r="F131" s="51"/>
      <c r="G131" s="51"/>
      <c r="H131" s="51"/>
      <c r="I131" s="51"/>
      <c r="J131" s="51"/>
      <c r="K131" s="51"/>
      <c r="L131" s="51"/>
      <c r="M131" s="51"/>
      <c r="N131" s="51"/>
      <c r="O131" s="51"/>
      <c r="P131" s="51"/>
      <c r="Q131" s="51"/>
      <c r="R131" s="51"/>
      <c r="S131" s="51"/>
      <c r="T131" s="51"/>
      <c r="U131" s="51"/>
      <c r="V131" s="51"/>
      <c r="W131" s="51"/>
      <c r="X131" s="51"/>
      <c r="Y131" s="51"/>
      <c r="Z131" s="51"/>
    </row>
    <row r="132" spans="1:26" ht="14.25" customHeight="1" x14ac:dyDescent="0.3">
      <c r="A132" s="84"/>
      <c r="B132" s="51"/>
      <c r="C132" s="51"/>
      <c r="D132" s="85"/>
      <c r="E132" s="51"/>
      <c r="F132" s="51"/>
      <c r="G132" s="51"/>
      <c r="H132" s="51"/>
      <c r="I132" s="51"/>
      <c r="J132" s="51"/>
      <c r="K132" s="51"/>
      <c r="L132" s="51"/>
      <c r="M132" s="51"/>
      <c r="N132" s="51"/>
      <c r="O132" s="51"/>
      <c r="P132" s="51"/>
      <c r="Q132" s="51"/>
      <c r="R132" s="51"/>
      <c r="S132" s="51"/>
      <c r="T132" s="51"/>
      <c r="U132" s="51"/>
      <c r="V132" s="51"/>
      <c r="W132" s="51"/>
      <c r="X132" s="51"/>
      <c r="Y132" s="51"/>
      <c r="Z132" s="51"/>
    </row>
    <row r="133" spans="1:26" ht="14.25" customHeight="1" x14ac:dyDescent="0.3">
      <c r="A133" s="84"/>
      <c r="B133" s="51"/>
      <c r="C133" s="51"/>
      <c r="D133" s="85"/>
      <c r="E133" s="51"/>
      <c r="F133" s="51"/>
      <c r="G133" s="51"/>
      <c r="H133" s="51"/>
      <c r="I133" s="51"/>
      <c r="J133" s="51"/>
      <c r="K133" s="51"/>
      <c r="L133" s="51"/>
      <c r="M133" s="51"/>
      <c r="N133" s="51"/>
      <c r="O133" s="51"/>
      <c r="P133" s="51"/>
      <c r="Q133" s="51"/>
      <c r="R133" s="51"/>
      <c r="S133" s="51"/>
      <c r="T133" s="51"/>
      <c r="U133" s="51"/>
      <c r="V133" s="51"/>
      <c r="W133" s="51"/>
      <c r="X133" s="51"/>
      <c r="Y133" s="51"/>
      <c r="Z133" s="51"/>
    </row>
    <row r="134" spans="1:26" ht="14.25" customHeight="1" x14ac:dyDescent="0.3">
      <c r="A134" s="84"/>
      <c r="B134" s="51"/>
      <c r="C134" s="51"/>
      <c r="D134" s="85"/>
      <c r="E134" s="51"/>
      <c r="F134" s="51"/>
      <c r="G134" s="51"/>
      <c r="H134" s="51"/>
      <c r="I134" s="51"/>
      <c r="J134" s="51"/>
      <c r="K134" s="51"/>
      <c r="L134" s="51"/>
      <c r="M134" s="51"/>
      <c r="N134" s="51"/>
      <c r="O134" s="51"/>
      <c r="P134" s="51"/>
      <c r="Q134" s="51"/>
      <c r="R134" s="51"/>
      <c r="S134" s="51"/>
      <c r="T134" s="51"/>
      <c r="U134" s="51"/>
      <c r="V134" s="51"/>
      <c r="W134" s="51"/>
      <c r="X134" s="51"/>
      <c r="Y134" s="51"/>
      <c r="Z134" s="51"/>
    </row>
    <row r="135" spans="1:26" ht="14.25" customHeight="1" x14ac:dyDescent="0.3">
      <c r="A135" s="84"/>
      <c r="B135" s="51"/>
      <c r="C135" s="51"/>
      <c r="D135" s="85"/>
      <c r="E135" s="51"/>
      <c r="F135" s="51"/>
      <c r="G135" s="51"/>
      <c r="H135" s="51"/>
      <c r="I135" s="51"/>
      <c r="J135" s="51"/>
      <c r="K135" s="51"/>
      <c r="L135" s="51"/>
      <c r="M135" s="51"/>
      <c r="N135" s="51"/>
      <c r="O135" s="51"/>
      <c r="P135" s="51"/>
      <c r="Q135" s="51"/>
      <c r="R135" s="51"/>
      <c r="S135" s="51"/>
      <c r="T135" s="51"/>
      <c r="U135" s="51"/>
      <c r="V135" s="51"/>
      <c r="W135" s="51"/>
      <c r="X135" s="51"/>
      <c r="Y135" s="51"/>
      <c r="Z135" s="51"/>
    </row>
    <row r="136" spans="1:26" ht="14.25" customHeight="1" x14ac:dyDescent="0.3">
      <c r="A136" s="84"/>
      <c r="B136" s="51"/>
      <c r="C136" s="51"/>
      <c r="D136" s="85"/>
      <c r="E136" s="51"/>
      <c r="F136" s="51"/>
      <c r="G136" s="51"/>
      <c r="H136" s="51"/>
      <c r="I136" s="51"/>
      <c r="J136" s="51"/>
      <c r="K136" s="51"/>
      <c r="L136" s="51"/>
      <c r="M136" s="51"/>
      <c r="N136" s="51"/>
      <c r="O136" s="51"/>
      <c r="P136" s="51"/>
      <c r="Q136" s="51"/>
      <c r="R136" s="51"/>
      <c r="S136" s="51"/>
      <c r="T136" s="51"/>
      <c r="U136" s="51"/>
      <c r="V136" s="51"/>
      <c r="W136" s="51"/>
      <c r="X136" s="51"/>
      <c r="Y136" s="51"/>
      <c r="Z136" s="51"/>
    </row>
    <row r="137" spans="1:26" ht="14.25" customHeight="1" x14ac:dyDescent="0.3">
      <c r="A137" s="84"/>
      <c r="B137" s="51"/>
      <c r="C137" s="51"/>
      <c r="D137" s="85"/>
      <c r="E137" s="51"/>
      <c r="F137" s="51"/>
      <c r="G137" s="51"/>
      <c r="H137" s="51"/>
      <c r="I137" s="51"/>
      <c r="J137" s="51"/>
      <c r="K137" s="51"/>
      <c r="L137" s="51"/>
      <c r="M137" s="51"/>
      <c r="N137" s="51"/>
      <c r="O137" s="51"/>
      <c r="P137" s="51"/>
      <c r="Q137" s="51"/>
      <c r="R137" s="51"/>
      <c r="S137" s="51"/>
      <c r="T137" s="51"/>
      <c r="U137" s="51"/>
      <c r="V137" s="51"/>
      <c r="W137" s="51"/>
      <c r="X137" s="51"/>
      <c r="Y137" s="51"/>
      <c r="Z137" s="51"/>
    </row>
    <row r="138" spans="1:26" ht="14.25" customHeight="1" x14ac:dyDescent="0.3">
      <c r="A138" s="84"/>
      <c r="B138" s="51"/>
      <c r="C138" s="51"/>
      <c r="D138" s="85"/>
      <c r="E138" s="51"/>
      <c r="F138" s="51"/>
      <c r="G138" s="51"/>
      <c r="H138" s="51"/>
      <c r="I138" s="51"/>
      <c r="J138" s="51"/>
      <c r="K138" s="51"/>
      <c r="L138" s="51"/>
      <c r="M138" s="51"/>
      <c r="N138" s="51"/>
      <c r="O138" s="51"/>
      <c r="P138" s="51"/>
      <c r="Q138" s="51"/>
      <c r="R138" s="51"/>
      <c r="S138" s="51"/>
      <c r="T138" s="51"/>
      <c r="U138" s="51"/>
      <c r="V138" s="51"/>
      <c r="W138" s="51"/>
      <c r="X138" s="51"/>
      <c r="Y138" s="51"/>
      <c r="Z138" s="51"/>
    </row>
    <row r="139" spans="1:26" ht="14.25" customHeight="1" x14ac:dyDescent="0.3">
      <c r="A139" s="84"/>
      <c r="B139" s="51"/>
      <c r="C139" s="51"/>
      <c r="D139" s="85"/>
      <c r="E139" s="51"/>
      <c r="F139" s="51"/>
      <c r="G139" s="51"/>
      <c r="H139" s="51"/>
      <c r="I139" s="51"/>
      <c r="J139" s="51"/>
      <c r="K139" s="51"/>
      <c r="L139" s="51"/>
      <c r="M139" s="51"/>
      <c r="N139" s="51"/>
      <c r="O139" s="51"/>
      <c r="P139" s="51"/>
      <c r="Q139" s="51"/>
      <c r="R139" s="51"/>
      <c r="S139" s="51"/>
      <c r="T139" s="51"/>
      <c r="U139" s="51"/>
      <c r="V139" s="51"/>
      <c r="W139" s="51"/>
      <c r="X139" s="51"/>
      <c r="Y139" s="51"/>
      <c r="Z139" s="51"/>
    </row>
    <row r="140" spans="1:26" ht="14.25" customHeight="1" x14ac:dyDescent="0.3">
      <c r="A140" s="84"/>
      <c r="B140" s="51"/>
      <c r="C140" s="51"/>
      <c r="D140" s="85"/>
      <c r="E140" s="51"/>
      <c r="F140" s="51"/>
      <c r="G140" s="51"/>
      <c r="H140" s="51"/>
      <c r="I140" s="51"/>
      <c r="J140" s="51"/>
      <c r="K140" s="51"/>
      <c r="L140" s="51"/>
      <c r="M140" s="51"/>
      <c r="N140" s="51"/>
      <c r="O140" s="51"/>
      <c r="P140" s="51"/>
      <c r="Q140" s="51"/>
      <c r="R140" s="51"/>
      <c r="S140" s="51"/>
      <c r="T140" s="51"/>
      <c r="U140" s="51"/>
      <c r="V140" s="51"/>
      <c r="W140" s="51"/>
      <c r="X140" s="51"/>
      <c r="Y140" s="51"/>
      <c r="Z140" s="51"/>
    </row>
    <row r="141" spans="1:26" ht="14.25" customHeight="1" x14ac:dyDescent="0.3">
      <c r="A141" s="84"/>
      <c r="B141" s="51"/>
      <c r="C141" s="51"/>
      <c r="D141" s="85"/>
      <c r="E141" s="51"/>
      <c r="F141" s="51"/>
      <c r="G141" s="51"/>
      <c r="H141" s="51"/>
      <c r="I141" s="51"/>
      <c r="J141" s="51"/>
      <c r="K141" s="51"/>
      <c r="L141" s="51"/>
      <c r="M141" s="51"/>
      <c r="N141" s="51"/>
      <c r="O141" s="51"/>
      <c r="P141" s="51"/>
      <c r="Q141" s="51"/>
      <c r="R141" s="51"/>
      <c r="S141" s="51"/>
      <c r="T141" s="51"/>
      <c r="U141" s="51"/>
      <c r="V141" s="51"/>
      <c r="W141" s="51"/>
      <c r="X141" s="51"/>
      <c r="Y141" s="51"/>
      <c r="Z141" s="51"/>
    </row>
    <row r="142" spans="1:26" ht="14.25" customHeight="1" x14ac:dyDescent="0.3">
      <c r="A142" s="84"/>
      <c r="B142" s="51"/>
      <c r="C142" s="51"/>
      <c r="D142" s="85"/>
      <c r="E142" s="51"/>
      <c r="F142" s="51"/>
      <c r="G142" s="51"/>
      <c r="H142" s="51"/>
      <c r="I142" s="51"/>
      <c r="J142" s="51"/>
      <c r="K142" s="51"/>
      <c r="L142" s="51"/>
      <c r="M142" s="51"/>
      <c r="N142" s="51"/>
      <c r="O142" s="51"/>
      <c r="P142" s="51"/>
      <c r="Q142" s="51"/>
      <c r="R142" s="51"/>
      <c r="S142" s="51"/>
      <c r="T142" s="51"/>
      <c r="U142" s="51"/>
      <c r="V142" s="51"/>
      <c r="W142" s="51"/>
      <c r="X142" s="51"/>
      <c r="Y142" s="51"/>
      <c r="Z142" s="51"/>
    </row>
    <row r="143" spans="1:26" ht="14.25" customHeight="1" x14ac:dyDescent="0.3">
      <c r="A143" s="84"/>
      <c r="B143" s="51"/>
      <c r="C143" s="51"/>
      <c r="D143" s="85"/>
      <c r="E143" s="51"/>
      <c r="F143" s="51"/>
      <c r="G143" s="51"/>
      <c r="H143" s="51"/>
      <c r="I143" s="51"/>
      <c r="J143" s="51"/>
      <c r="K143" s="51"/>
      <c r="L143" s="51"/>
      <c r="M143" s="51"/>
      <c r="N143" s="51"/>
      <c r="O143" s="51"/>
      <c r="P143" s="51"/>
      <c r="Q143" s="51"/>
      <c r="R143" s="51"/>
      <c r="S143" s="51"/>
      <c r="T143" s="51"/>
      <c r="U143" s="51"/>
      <c r="V143" s="51"/>
      <c r="W143" s="51"/>
      <c r="X143" s="51"/>
      <c r="Y143" s="51"/>
      <c r="Z143" s="51"/>
    </row>
    <row r="144" spans="1:26" ht="14.25" customHeight="1" x14ac:dyDescent="0.3">
      <c r="A144" s="84"/>
      <c r="B144" s="51"/>
      <c r="C144" s="51"/>
      <c r="D144" s="85"/>
      <c r="E144" s="51"/>
      <c r="F144" s="51"/>
      <c r="G144" s="51"/>
      <c r="H144" s="51"/>
      <c r="I144" s="51"/>
      <c r="J144" s="51"/>
      <c r="K144" s="51"/>
      <c r="L144" s="51"/>
      <c r="M144" s="51"/>
      <c r="N144" s="51"/>
      <c r="O144" s="51"/>
      <c r="P144" s="51"/>
      <c r="Q144" s="51"/>
      <c r="R144" s="51"/>
      <c r="S144" s="51"/>
      <c r="T144" s="51"/>
      <c r="U144" s="51"/>
      <c r="V144" s="51"/>
      <c r="W144" s="51"/>
      <c r="X144" s="51"/>
      <c r="Y144" s="51"/>
      <c r="Z144" s="51"/>
    </row>
    <row r="145" spans="1:26" ht="14.25" customHeight="1" x14ac:dyDescent="0.3">
      <c r="A145" s="84"/>
      <c r="B145" s="51"/>
      <c r="C145" s="51"/>
      <c r="D145" s="85"/>
      <c r="E145" s="51"/>
      <c r="F145" s="51"/>
      <c r="G145" s="51"/>
      <c r="H145" s="51"/>
      <c r="I145" s="51"/>
      <c r="J145" s="51"/>
      <c r="K145" s="51"/>
      <c r="L145" s="51"/>
      <c r="M145" s="51"/>
      <c r="N145" s="51"/>
      <c r="O145" s="51"/>
      <c r="P145" s="51"/>
      <c r="Q145" s="51"/>
      <c r="R145" s="51"/>
      <c r="S145" s="51"/>
      <c r="T145" s="51"/>
      <c r="U145" s="51"/>
      <c r="V145" s="51"/>
      <c r="W145" s="51"/>
      <c r="X145" s="51"/>
      <c r="Y145" s="51"/>
      <c r="Z145" s="51"/>
    </row>
    <row r="146" spans="1:26" ht="14.25" customHeight="1" x14ac:dyDescent="0.3">
      <c r="A146" s="84"/>
      <c r="B146" s="51"/>
      <c r="C146" s="51"/>
      <c r="D146" s="85"/>
      <c r="E146" s="51"/>
      <c r="F146" s="51"/>
      <c r="G146" s="51"/>
      <c r="H146" s="51"/>
      <c r="I146" s="51"/>
      <c r="J146" s="51"/>
      <c r="K146" s="51"/>
      <c r="L146" s="51"/>
      <c r="M146" s="51"/>
      <c r="N146" s="51"/>
      <c r="O146" s="51"/>
      <c r="P146" s="51"/>
      <c r="Q146" s="51"/>
      <c r="R146" s="51"/>
      <c r="S146" s="51"/>
      <c r="T146" s="51"/>
      <c r="U146" s="51"/>
      <c r="V146" s="51"/>
      <c r="W146" s="51"/>
      <c r="X146" s="51"/>
      <c r="Y146" s="51"/>
      <c r="Z146" s="51"/>
    </row>
    <row r="147" spans="1:26" ht="14.25" customHeight="1" x14ac:dyDescent="0.3">
      <c r="A147" s="84"/>
      <c r="B147" s="51"/>
      <c r="C147" s="51"/>
      <c r="D147" s="85"/>
      <c r="E147" s="51"/>
      <c r="F147" s="51"/>
      <c r="G147" s="51"/>
      <c r="H147" s="51"/>
      <c r="I147" s="51"/>
      <c r="J147" s="51"/>
      <c r="K147" s="51"/>
      <c r="L147" s="51"/>
      <c r="M147" s="51"/>
      <c r="N147" s="51"/>
      <c r="O147" s="51"/>
      <c r="P147" s="51"/>
      <c r="Q147" s="51"/>
      <c r="R147" s="51"/>
      <c r="S147" s="51"/>
      <c r="T147" s="51"/>
      <c r="U147" s="51"/>
      <c r="V147" s="51"/>
      <c r="W147" s="51"/>
      <c r="X147" s="51"/>
      <c r="Y147" s="51"/>
      <c r="Z147" s="51"/>
    </row>
    <row r="148" spans="1:26" ht="14.25" customHeight="1" x14ac:dyDescent="0.3">
      <c r="A148" s="84"/>
      <c r="B148" s="51"/>
      <c r="C148" s="51"/>
      <c r="D148" s="85"/>
      <c r="E148" s="51"/>
      <c r="F148" s="51"/>
      <c r="G148" s="51"/>
      <c r="H148" s="51"/>
      <c r="I148" s="51"/>
      <c r="J148" s="51"/>
      <c r="K148" s="51"/>
      <c r="L148" s="51"/>
      <c r="M148" s="51"/>
      <c r="N148" s="51"/>
      <c r="O148" s="51"/>
      <c r="P148" s="51"/>
      <c r="Q148" s="51"/>
      <c r="R148" s="51"/>
      <c r="S148" s="51"/>
      <c r="T148" s="51"/>
      <c r="U148" s="51"/>
      <c r="V148" s="51"/>
      <c r="W148" s="51"/>
      <c r="X148" s="51"/>
      <c r="Y148" s="51"/>
      <c r="Z148" s="51"/>
    </row>
    <row r="149" spans="1:26" ht="14.25" customHeight="1" x14ac:dyDescent="0.3">
      <c r="A149" s="84"/>
      <c r="B149" s="51"/>
      <c r="C149" s="51"/>
      <c r="D149" s="85"/>
      <c r="E149" s="51"/>
      <c r="F149" s="51"/>
      <c r="G149" s="51"/>
      <c r="H149" s="51"/>
      <c r="I149" s="51"/>
      <c r="J149" s="51"/>
      <c r="K149" s="51"/>
      <c r="L149" s="51"/>
      <c r="M149" s="51"/>
      <c r="N149" s="51"/>
      <c r="O149" s="51"/>
      <c r="P149" s="51"/>
      <c r="Q149" s="51"/>
      <c r="R149" s="51"/>
      <c r="S149" s="51"/>
      <c r="T149" s="51"/>
      <c r="U149" s="51"/>
      <c r="V149" s="51"/>
      <c r="W149" s="51"/>
      <c r="X149" s="51"/>
      <c r="Y149" s="51"/>
      <c r="Z149" s="51"/>
    </row>
    <row r="150" spans="1:26" ht="14.25" customHeight="1" x14ac:dyDescent="0.3">
      <c r="A150" s="84"/>
      <c r="B150" s="51"/>
      <c r="C150" s="51"/>
      <c r="D150" s="85"/>
      <c r="E150" s="51"/>
      <c r="F150" s="51"/>
      <c r="G150" s="51"/>
      <c r="H150" s="51"/>
      <c r="I150" s="51"/>
      <c r="J150" s="51"/>
      <c r="K150" s="51"/>
      <c r="L150" s="51"/>
      <c r="M150" s="51"/>
      <c r="N150" s="51"/>
      <c r="O150" s="51"/>
      <c r="P150" s="51"/>
      <c r="Q150" s="51"/>
      <c r="R150" s="51"/>
      <c r="S150" s="51"/>
      <c r="T150" s="51"/>
      <c r="U150" s="51"/>
      <c r="V150" s="51"/>
      <c r="W150" s="51"/>
      <c r="X150" s="51"/>
      <c r="Y150" s="51"/>
      <c r="Z150" s="51"/>
    </row>
    <row r="151" spans="1:26" ht="14.25" customHeight="1" x14ac:dyDescent="0.3">
      <c r="A151" s="84"/>
      <c r="B151" s="51"/>
      <c r="C151" s="51"/>
      <c r="D151" s="85"/>
      <c r="E151" s="51"/>
      <c r="F151" s="51"/>
      <c r="G151" s="51"/>
      <c r="H151" s="51"/>
      <c r="I151" s="51"/>
      <c r="J151" s="51"/>
      <c r="K151" s="51"/>
      <c r="L151" s="51"/>
      <c r="M151" s="51"/>
      <c r="N151" s="51"/>
      <c r="O151" s="51"/>
      <c r="P151" s="51"/>
      <c r="Q151" s="51"/>
      <c r="R151" s="51"/>
      <c r="S151" s="51"/>
      <c r="T151" s="51"/>
      <c r="U151" s="51"/>
      <c r="V151" s="51"/>
      <c r="W151" s="51"/>
      <c r="X151" s="51"/>
      <c r="Y151" s="51"/>
      <c r="Z151" s="51"/>
    </row>
    <row r="152" spans="1:26" ht="14.25" customHeight="1" x14ac:dyDescent="0.3">
      <c r="A152" s="84"/>
      <c r="B152" s="51"/>
      <c r="C152" s="51"/>
      <c r="D152" s="85"/>
      <c r="E152" s="51"/>
      <c r="F152" s="51"/>
      <c r="G152" s="51"/>
      <c r="H152" s="51"/>
      <c r="I152" s="51"/>
      <c r="J152" s="51"/>
      <c r="K152" s="51"/>
      <c r="L152" s="51"/>
      <c r="M152" s="51"/>
      <c r="N152" s="51"/>
      <c r="O152" s="51"/>
      <c r="P152" s="51"/>
      <c r="Q152" s="51"/>
      <c r="R152" s="51"/>
      <c r="S152" s="51"/>
      <c r="T152" s="51"/>
      <c r="U152" s="51"/>
      <c r="V152" s="51"/>
      <c r="W152" s="51"/>
      <c r="X152" s="51"/>
      <c r="Y152" s="51"/>
      <c r="Z152" s="51"/>
    </row>
    <row r="153" spans="1:26" ht="14.25" customHeight="1" x14ac:dyDescent="0.3">
      <c r="A153" s="84"/>
      <c r="B153" s="51"/>
      <c r="C153" s="51"/>
      <c r="D153" s="85"/>
      <c r="E153" s="51"/>
      <c r="F153" s="51"/>
      <c r="G153" s="51"/>
      <c r="H153" s="51"/>
      <c r="I153" s="51"/>
      <c r="J153" s="51"/>
      <c r="K153" s="51"/>
      <c r="L153" s="51"/>
      <c r="M153" s="51"/>
      <c r="N153" s="51"/>
      <c r="O153" s="51"/>
      <c r="P153" s="51"/>
      <c r="Q153" s="51"/>
      <c r="R153" s="51"/>
      <c r="S153" s="51"/>
      <c r="T153" s="51"/>
      <c r="U153" s="51"/>
      <c r="V153" s="51"/>
      <c r="W153" s="51"/>
      <c r="X153" s="51"/>
      <c r="Y153" s="51"/>
      <c r="Z153" s="51"/>
    </row>
    <row r="154" spans="1:26" ht="14.25" customHeight="1" x14ac:dyDescent="0.3">
      <c r="A154" s="84"/>
      <c r="B154" s="51"/>
      <c r="C154" s="51"/>
      <c r="D154" s="85"/>
      <c r="E154" s="51"/>
      <c r="F154" s="51"/>
      <c r="G154" s="51"/>
      <c r="H154" s="51"/>
      <c r="I154" s="51"/>
      <c r="J154" s="51"/>
      <c r="K154" s="51"/>
      <c r="L154" s="51"/>
      <c r="M154" s="51"/>
      <c r="N154" s="51"/>
      <c r="O154" s="51"/>
      <c r="P154" s="51"/>
      <c r="Q154" s="51"/>
      <c r="R154" s="51"/>
      <c r="S154" s="51"/>
      <c r="T154" s="51"/>
      <c r="U154" s="51"/>
      <c r="V154" s="51"/>
      <c r="W154" s="51"/>
      <c r="X154" s="51"/>
      <c r="Y154" s="51"/>
      <c r="Z154" s="51"/>
    </row>
    <row r="155" spans="1:26" ht="14.25" customHeight="1" x14ac:dyDescent="0.3">
      <c r="A155" s="84"/>
      <c r="B155" s="51"/>
      <c r="C155" s="51"/>
      <c r="D155" s="85"/>
      <c r="E155" s="51"/>
      <c r="F155" s="51"/>
      <c r="G155" s="51"/>
      <c r="H155" s="51"/>
      <c r="I155" s="51"/>
      <c r="J155" s="51"/>
      <c r="K155" s="51"/>
      <c r="L155" s="51"/>
      <c r="M155" s="51"/>
      <c r="N155" s="51"/>
      <c r="O155" s="51"/>
      <c r="P155" s="51"/>
      <c r="Q155" s="51"/>
      <c r="R155" s="51"/>
      <c r="S155" s="51"/>
      <c r="T155" s="51"/>
      <c r="U155" s="51"/>
      <c r="V155" s="51"/>
      <c r="W155" s="51"/>
      <c r="X155" s="51"/>
      <c r="Y155" s="51"/>
      <c r="Z155" s="51"/>
    </row>
    <row r="156" spans="1:26" ht="14.25" customHeight="1" x14ac:dyDescent="0.3">
      <c r="A156" s="84"/>
      <c r="B156" s="51"/>
      <c r="C156" s="51"/>
      <c r="D156" s="85"/>
      <c r="E156" s="51"/>
      <c r="F156" s="51"/>
      <c r="G156" s="51"/>
      <c r="H156" s="51"/>
      <c r="I156" s="51"/>
      <c r="J156" s="51"/>
      <c r="K156" s="51"/>
      <c r="L156" s="51"/>
      <c r="M156" s="51"/>
      <c r="N156" s="51"/>
      <c r="O156" s="51"/>
      <c r="P156" s="51"/>
      <c r="Q156" s="51"/>
      <c r="R156" s="51"/>
      <c r="S156" s="51"/>
      <c r="T156" s="51"/>
      <c r="U156" s="51"/>
      <c r="V156" s="51"/>
      <c r="W156" s="51"/>
      <c r="X156" s="51"/>
      <c r="Y156" s="51"/>
      <c r="Z156" s="51"/>
    </row>
    <row r="157" spans="1:26" ht="14.25" customHeight="1" x14ac:dyDescent="0.3">
      <c r="A157" s="84"/>
      <c r="B157" s="51"/>
      <c r="C157" s="51"/>
      <c r="D157" s="85"/>
      <c r="E157" s="51"/>
      <c r="F157" s="51"/>
      <c r="G157" s="51"/>
      <c r="H157" s="51"/>
      <c r="I157" s="51"/>
      <c r="J157" s="51"/>
      <c r="K157" s="51"/>
      <c r="L157" s="51"/>
      <c r="M157" s="51"/>
      <c r="N157" s="51"/>
      <c r="O157" s="51"/>
      <c r="P157" s="51"/>
      <c r="Q157" s="51"/>
      <c r="R157" s="51"/>
      <c r="S157" s="51"/>
      <c r="T157" s="51"/>
      <c r="U157" s="51"/>
      <c r="V157" s="51"/>
      <c r="W157" s="51"/>
      <c r="X157" s="51"/>
      <c r="Y157" s="51"/>
      <c r="Z157" s="51"/>
    </row>
    <row r="158" spans="1:26" ht="14.25" customHeight="1" x14ac:dyDescent="0.3">
      <c r="A158" s="84"/>
      <c r="B158" s="51"/>
      <c r="C158" s="51"/>
      <c r="D158" s="85"/>
      <c r="E158" s="51"/>
      <c r="F158" s="51"/>
      <c r="G158" s="51"/>
      <c r="H158" s="51"/>
      <c r="I158" s="51"/>
      <c r="J158" s="51"/>
      <c r="K158" s="51"/>
      <c r="L158" s="51"/>
      <c r="M158" s="51"/>
      <c r="N158" s="51"/>
      <c r="O158" s="51"/>
      <c r="P158" s="51"/>
      <c r="Q158" s="51"/>
      <c r="R158" s="51"/>
      <c r="S158" s="51"/>
      <c r="T158" s="51"/>
      <c r="U158" s="51"/>
      <c r="V158" s="51"/>
      <c r="W158" s="51"/>
      <c r="X158" s="51"/>
      <c r="Y158" s="51"/>
      <c r="Z158" s="51"/>
    </row>
    <row r="159" spans="1:26" ht="14.25" customHeight="1" x14ac:dyDescent="0.3">
      <c r="A159" s="84"/>
      <c r="B159" s="51"/>
      <c r="C159" s="51"/>
      <c r="D159" s="85"/>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ht="14.25" customHeight="1" x14ac:dyDescent="0.3">
      <c r="A160" s="84"/>
      <c r="B160" s="51"/>
      <c r="C160" s="51"/>
      <c r="D160" s="85"/>
      <c r="E160" s="51"/>
      <c r="F160" s="51"/>
      <c r="G160" s="51"/>
      <c r="H160" s="51"/>
      <c r="I160" s="51"/>
      <c r="J160" s="51"/>
      <c r="K160" s="51"/>
      <c r="L160" s="51"/>
      <c r="M160" s="51"/>
      <c r="N160" s="51"/>
      <c r="O160" s="51"/>
      <c r="P160" s="51"/>
      <c r="Q160" s="51"/>
      <c r="R160" s="51"/>
      <c r="S160" s="51"/>
      <c r="T160" s="51"/>
      <c r="U160" s="51"/>
      <c r="V160" s="51"/>
      <c r="W160" s="51"/>
      <c r="X160" s="51"/>
      <c r="Y160" s="51"/>
      <c r="Z160" s="51"/>
    </row>
    <row r="161" spans="1:26" ht="14.25" customHeight="1" x14ac:dyDescent="0.3">
      <c r="A161" s="84"/>
      <c r="B161" s="51"/>
      <c r="C161" s="51"/>
      <c r="D161" s="85"/>
      <c r="E161" s="51"/>
      <c r="F161" s="51"/>
      <c r="G161" s="51"/>
      <c r="H161" s="51"/>
      <c r="I161" s="51"/>
      <c r="J161" s="51"/>
      <c r="K161" s="51"/>
      <c r="L161" s="51"/>
      <c r="M161" s="51"/>
      <c r="N161" s="51"/>
      <c r="O161" s="51"/>
      <c r="P161" s="51"/>
      <c r="Q161" s="51"/>
      <c r="R161" s="51"/>
      <c r="S161" s="51"/>
      <c r="T161" s="51"/>
      <c r="U161" s="51"/>
      <c r="V161" s="51"/>
      <c r="W161" s="51"/>
      <c r="X161" s="51"/>
      <c r="Y161" s="51"/>
      <c r="Z161" s="51"/>
    </row>
    <row r="162" spans="1:26" ht="14.25" customHeight="1" x14ac:dyDescent="0.3">
      <c r="A162" s="84"/>
      <c r="B162" s="51"/>
      <c r="C162" s="51"/>
      <c r="D162" s="85"/>
      <c r="E162" s="51"/>
      <c r="F162" s="51"/>
      <c r="G162" s="51"/>
      <c r="H162" s="51"/>
      <c r="I162" s="51"/>
      <c r="J162" s="51"/>
      <c r="K162" s="51"/>
      <c r="L162" s="51"/>
      <c r="M162" s="51"/>
      <c r="N162" s="51"/>
      <c r="O162" s="51"/>
      <c r="P162" s="51"/>
      <c r="Q162" s="51"/>
      <c r="R162" s="51"/>
      <c r="S162" s="51"/>
      <c r="T162" s="51"/>
      <c r="U162" s="51"/>
      <c r="V162" s="51"/>
      <c r="W162" s="51"/>
      <c r="X162" s="51"/>
      <c r="Y162" s="51"/>
      <c r="Z162" s="51"/>
    </row>
    <row r="163" spans="1:26" ht="14.25" customHeight="1" x14ac:dyDescent="0.3">
      <c r="A163" s="84"/>
      <c r="B163" s="51"/>
      <c r="C163" s="51"/>
      <c r="D163" s="85"/>
      <c r="E163" s="51"/>
      <c r="F163" s="51"/>
      <c r="G163" s="51"/>
      <c r="H163" s="51"/>
      <c r="I163" s="51"/>
      <c r="J163" s="51"/>
      <c r="K163" s="51"/>
      <c r="L163" s="51"/>
      <c r="M163" s="51"/>
      <c r="N163" s="51"/>
      <c r="O163" s="51"/>
      <c r="P163" s="51"/>
      <c r="Q163" s="51"/>
      <c r="R163" s="51"/>
      <c r="S163" s="51"/>
      <c r="T163" s="51"/>
      <c r="U163" s="51"/>
      <c r="V163" s="51"/>
      <c r="W163" s="51"/>
      <c r="X163" s="51"/>
      <c r="Y163" s="51"/>
      <c r="Z163" s="51"/>
    </row>
    <row r="164" spans="1:26" ht="14.25" customHeight="1" x14ac:dyDescent="0.3">
      <c r="A164" s="84"/>
      <c r="B164" s="51"/>
      <c r="C164" s="51"/>
      <c r="D164" s="85"/>
      <c r="E164" s="51"/>
      <c r="F164" s="51"/>
      <c r="G164" s="51"/>
      <c r="H164" s="51"/>
      <c r="I164" s="51"/>
      <c r="J164" s="51"/>
      <c r="K164" s="51"/>
      <c r="L164" s="51"/>
      <c r="M164" s="51"/>
      <c r="N164" s="51"/>
      <c r="O164" s="51"/>
      <c r="P164" s="51"/>
      <c r="Q164" s="51"/>
      <c r="R164" s="51"/>
      <c r="S164" s="51"/>
      <c r="T164" s="51"/>
      <c r="U164" s="51"/>
      <c r="V164" s="51"/>
      <c r="W164" s="51"/>
      <c r="X164" s="51"/>
      <c r="Y164" s="51"/>
      <c r="Z164" s="51"/>
    </row>
    <row r="165" spans="1:26" ht="14.25" customHeight="1" x14ac:dyDescent="0.3">
      <c r="A165" s="84"/>
      <c r="B165" s="51"/>
      <c r="C165" s="51"/>
      <c r="D165" s="85"/>
      <c r="E165" s="51"/>
      <c r="F165" s="51"/>
      <c r="G165" s="51"/>
      <c r="H165" s="51"/>
      <c r="I165" s="51"/>
      <c r="J165" s="51"/>
      <c r="K165" s="51"/>
      <c r="L165" s="51"/>
      <c r="M165" s="51"/>
      <c r="N165" s="51"/>
      <c r="O165" s="51"/>
      <c r="P165" s="51"/>
      <c r="Q165" s="51"/>
      <c r="R165" s="51"/>
      <c r="S165" s="51"/>
      <c r="T165" s="51"/>
      <c r="U165" s="51"/>
      <c r="V165" s="51"/>
      <c r="W165" s="51"/>
      <c r="X165" s="51"/>
      <c r="Y165" s="51"/>
      <c r="Z165" s="51"/>
    </row>
    <row r="166" spans="1:26" ht="14.25" customHeight="1" x14ac:dyDescent="0.3">
      <c r="A166" s="84"/>
      <c r="B166" s="51"/>
      <c r="C166" s="51"/>
      <c r="D166" s="85"/>
      <c r="E166" s="51"/>
      <c r="F166" s="51"/>
      <c r="G166" s="51"/>
      <c r="H166" s="51"/>
      <c r="I166" s="51"/>
      <c r="J166" s="51"/>
      <c r="K166" s="51"/>
      <c r="L166" s="51"/>
      <c r="M166" s="51"/>
      <c r="N166" s="51"/>
      <c r="O166" s="51"/>
      <c r="P166" s="51"/>
      <c r="Q166" s="51"/>
      <c r="R166" s="51"/>
      <c r="S166" s="51"/>
      <c r="T166" s="51"/>
      <c r="U166" s="51"/>
      <c r="V166" s="51"/>
      <c r="W166" s="51"/>
      <c r="X166" s="51"/>
      <c r="Y166" s="51"/>
      <c r="Z166" s="51"/>
    </row>
    <row r="167" spans="1:26" ht="14.25" customHeight="1" x14ac:dyDescent="0.3">
      <c r="A167" s="84"/>
      <c r="B167" s="51"/>
      <c r="C167" s="51"/>
      <c r="D167" s="85"/>
      <c r="E167" s="51"/>
      <c r="F167" s="51"/>
      <c r="G167" s="51"/>
      <c r="H167" s="51"/>
      <c r="I167" s="51"/>
      <c r="J167" s="51"/>
      <c r="K167" s="51"/>
      <c r="L167" s="51"/>
      <c r="M167" s="51"/>
      <c r="N167" s="51"/>
      <c r="O167" s="51"/>
      <c r="P167" s="51"/>
      <c r="Q167" s="51"/>
      <c r="R167" s="51"/>
      <c r="S167" s="51"/>
      <c r="T167" s="51"/>
      <c r="U167" s="51"/>
      <c r="V167" s="51"/>
      <c r="W167" s="51"/>
      <c r="X167" s="51"/>
      <c r="Y167" s="51"/>
      <c r="Z167" s="51"/>
    </row>
    <row r="168" spans="1:26" ht="14.25" customHeight="1" x14ac:dyDescent="0.3">
      <c r="A168" s="84"/>
      <c r="B168" s="51"/>
      <c r="C168" s="51"/>
      <c r="D168" s="85"/>
      <c r="E168" s="51"/>
      <c r="F168" s="51"/>
      <c r="G168" s="51"/>
      <c r="H168" s="51"/>
      <c r="I168" s="51"/>
      <c r="J168" s="51"/>
      <c r="K168" s="51"/>
      <c r="L168" s="51"/>
      <c r="M168" s="51"/>
      <c r="N168" s="51"/>
      <c r="O168" s="51"/>
      <c r="P168" s="51"/>
      <c r="Q168" s="51"/>
      <c r="R168" s="51"/>
      <c r="S168" s="51"/>
      <c r="T168" s="51"/>
      <c r="U168" s="51"/>
      <c r="V168" s="51"/>
      <c r="W168" s="51"/>
      <c r="X168" s="51"/>
      <c r="Y168" s="51"/>
      <c r="Z168" s="51"/>
    </row>
    <row r="169" spans="1:26" ht="14.25" customHeight="1" x14ac:dyDescent="0.3">
      <c r="A169" s="84"/>
      <c r="B169" s="51"/>
      <c r="C169" s="51"/>
      <c r="D169" s="85"/>
      <c r="E169" s="51"/>
      <c r="F169" s="51"/>
      <c r="G169" s="51"/>
      <c r="H169" s="51"/>
      <c r="I169" s="51"/>
      <c r="J169" s="51"/>
      <c r="K169" s="51"/>
      <c r="L169" s="51"/>
      <c r="M169" s="51"/>
      <c r="N169" s="51"/>
      <c r="O169" s="51"/>
      <c r="P169" s="51"/>
      <c r="Q169" s="51"/>
      <c r="R169" s="51"/>
      <c r="S169" s="51"/>
      <c r="T169" s="51"/>
      <c r="U169" s="51"/>
      <c r="V169" s="51"/>
      <c r="W169" s="51"/>
      <c r="X169" s="51"/>
      <c r="Y169" s="51"/>
      <c r="Z169" s="51"/>
    </row>
    <row r="170" spans="1:26" ht="14.25" customHeight="1" x14ac:dyDescent="0.3">
      <c r="A170" s="84"/>
      <c r="B170" s="51"/>
      <c r="C170" s="51"/>
      <c r="D170" s="85"/>
      <c r="E170" s="51"/>
      <c r="F170" s="51"/>
      <c r="G170" s="51"/>
      <c r="H170" s="51"/>
      <c r="I170" s="51"/>
      <c r="J170" s="51"/>
      <c r="K170" s="51"/>
      <c r="L170" s="51"/>
      <c r="M170" s="51"/>
      <c r="N170" s="51"/>
      <c r="O170" s="51"/>
      <c r="P170" s="51"/>
      <c r="Q170" s="51"/>
      <c r="R170" s="51"/>
      <c r="S170" s="51"/>
      <c r="T170" s="51"/>
      <c r="U170" s="51"/>
      <c r="V170" s="51"/>
      <c r="W170" s="51"/>
      <c r="X170" s="51"/>
      <c r="Y170" s="51"/>
      <c r="Z170" s="51"/>
    </row>
    <row r="171" spans="1:26" ht="14.25" customHeight="1" x14ac:dyDescent="0.3">
      <c r="A171" s="84"/>
      <c r="B171" s="51"/>
      <c r="C171" s="51"/>
      <c r="D171" s="85"/>
      <c r="E171" s="51"/>
      <c r="F171" s="51"/>
      <c r="G171" s="51"/>
      <c r="H171" s="51"/>
      <c r="I171" s="51"/>
      <c r="J171" s="51"/>
      <c r="K171" s="51"/>
      <c r="L171" s="51"/>
      <c r="M171" s="51"/>
      <c r="N171" s="51"/>
      <c r="O171" s="51"/>
      <c r="P171" s="51"/>
      <c r="Q171" s="51"/>
      <c r="R171" s="51"/>
      <c r="S171" s="51"/>
      <c r="T171" s="51"/>
      <c r="U171" s="51"/>
      <c r="V171" s="51"/>
      <c r="W171" s="51"/>
      <c r="X171" s="51"/>
      <c r="Y171" s="51"/>
      <c r="Z171" s="51"/>
    </row>
    <row r="172" spans="1:26" ht="14.25" customHeight="1" x14ac:dyDescent="0.3">
      <c r="A172" s="84"/>
      <c r="B172" s="51"/>
      <c r="C172" s="51"/>
      <c r="D172" s="85"/>
      <c r="E172" s="51"/>
      <c r="F172" s="51"/>
      <c r="G172" s="51"/>
      <c r="H172" s="51"/>
      <c r="I172" s="51"/>
      <c r="J172" s="51"/>
      <c r="K172" s="51"/>
      <c r="L172" s="51"/>
      <c r="M172" s="51"/>
      <c r="N172" s="51"/>
      <c r="O172" s="51"/>
      <c r="P172" s="51"/>
      <c r="Q172" s="51"/>
      <c r="R172" s="51"/>
      <c r="S172" s="51"/>
      <c r="T172" s="51"/>
      <c r="U172" s="51"/>
      <c r="V172" s="51"/>
      <c r="W172" s="51"/>
      <c r="X172" s="51"/>
      <c r="Y172" s="51"/>
      <c r="Z172" s="51"/>
    </row>
    <row r="173" spans="1:26" ht="14.25" customHeight="1" x14ac:dyDescent="0.3">
      <c r="A173" s="84"/>
      <c r="B173" s="51"/>
      <c r="C173" s="51"/>
      <c r="D173" s="85"/>
      <c r="E173" s="51"/>
      <c r="F173" s="51"/>
      <c r="G173" s="51"/>
      <c r="H173" s="51"/>
      <c r="I173" s="51"/>
      <c r="J173" s="51"/>
      <c r="K173" s="51"/>
      <c r="L173" s="51"/>
      <c r="M173" s="51"/>
      <c r="N173" s="51"/>
      <c r="O173" s="51"/>
      <c r="P173" s="51"/>
      <c r="Q173" s="51"/>
      <c r="R173" s="51"/>
      <c r="S173" s="51"/>
      <c r="T173" s="51"/>
      <c r="U173" s="51"/>
      <c r="V173" s="51"/>
      <c r="W173" s="51"/>
      <c r="X173" s="51"/>
      <c r="Y173" s="51"/>
      <c r="Z173" s="51"/>
    </row>
    <row r="174" spans="1:26" ht="14.25" customHeight="1" x14ac:dyDescent="0.3">
      <c r="A174" s="84"/>
      <c r="B174" s="51"/>
      <c r="C174" s="51"/>
      <c r="D174" s="85"/>
      <c r="E174" s="51"/>
      <c r="F174" s="51"/>
      <c r="G174" s="51"/>
      <c r="H174" s="51"/>
      <c r="I174" s="51"/>
      <c r="J174" s="51"/>
      <c r="K174" s="51"/>
      <c r="L174" s="51"/>
      <c r="M174" s="51"/>
      <c r="N174" s="51"/>
      <c r="O174" s="51"/>
      <c r="P174" s="51"/>
      <c r="Q174" s="51"/>
      <c r="R174" s="51"/>
      <c r="S174" s="51"/>
      <c r="T174" s="51"/>
      <c r="U174" s="51"/>
      <c r="V174" s="51"/>
      <c r="W174" s="51"/>
      <c r="X174" s="51"/>
      <c r="Y174" s="51"/>
      <c r="Z174" s="51"/>
    </row>
    <row r="175" spans="1:26" ht="14.25" customHeight="1" x14ac:dyDescent="0.3">
      <c r="A175" s="84"/>
      <c r="B175" s="51"/>
      <c r="C175" s="51"/>
      <c r="D175" s="85"/>
      <c r="E175" s="51"/>
      <c r="F175" s="51"/>
      <c r="G175" s="51"/>
      <c r="H175" s="51"/>
      <c r="I175" s="51"/>
      <c r="J175" s="51"/>
      <c r="K175" s="51"/>
      <c r="L175" s="51"/>
      <c r="M175" s="51"/>
      <c r="N175" s="51"/>
      <c r="O175" s="51"/>
      <c r="P175" s="51"/>
      <c r="Q175" s="51"/>
      <c r="R175" s="51"/>
      <c r="S175" s="51"/>
      <c r="T175" s="51"/>
      <c r="U175" s="51"/>
      <c r="V175" s="51"/>
      <c r="W175" s="51"/>
      <c r="X175" s="51"/>
      <c r="Y175" s="51"/>
      <c r="Z175" s="51"/>
    </row>
    <row r="176" spans="1:26" ht="14.25" customHeight="1" x14ac:dyDescent="0.3">
      <c r="A176" s="84"/>
      <c r="B176" s="51"/>
      <c r="C176" s="51"/>
      <c r="D176" s="85"/>
      <c r="E176" s="51"/>
      <c r="F176" s="51"/>
      <c r="G176" s="51"/>
      <c r="H176" s="51"/>
      <c r="I176" s="51"/>
      <c r="J176" s="51"/>
      <c r="K176" s="51"/>
      <c r="L176" s="51"/>
      <c r="M176" s="51"/>
      <c r="N176" s="51"/>
      <c r="O176" s="51"/>
      <c r="P176" s="51"/>
      <c r="Q176" s="51"/>
      <c r="R176" s="51"/>
      <c r="S176" s="51"/>
      <c r="T176" s="51"/>
      <c r="U176" s="51"/>
      <c r="V176" s="51"/>
      <c r="W176" s="51"/>
      <c r="X176" s="51"/>
      <c r="Y176" s="51"/>
      <c r="Z176" s="51"/>
    </row>
    <row r="177" spans="1:26" ht="14.25" customHeight="1" x14ac:dyDescent="0.3">
      <c r="A177" s="84"/>
      <c r="B177" s="51"/>
      <c r="C177" s="51"/>
      <c r="D177" s="85"/>
      <c r="E177" s="51"/>
      <c r="F177" s="51"/>
      <c r="G177" s="51"/>
      <c r="H177" s="51"/>
      <c r="I177" s="51"/>
      <c r="J177" s="51"/>
      <c r="K177" s="51"/>
      <c r="L177" s="51"/>
      <c r="M177" s="51"/>
      <c r="N177" s="51"/>
      <c r="O177" s="51"/>
      <c r="P177" s="51"/>
      <c r="Q177" s="51"/>
      <c r="R177" s="51"/>
      <c r="S177" s="51"/>
      <c r="T177" s="51"/>
      <c r="U177" s="51"/>
      <c r="V177" s="51"/>
      <c r="W177" s="51"/>
      <c r="X177" s="51"/>
      <c r="Y177" s="51"/>
      <c r="Z177" s="51"/>
    </row>
    <row r="178" spans="1:26" ht="14.25" customHeight="1" x14ac:dyDescent="0.3">
      <c r="A178" s="84"/>
      <c r="B178" s="51"/>
      <c r="C178" s="51"/>
      <c r="D178" s="85"/>
      <c r="E178" s="51"/>
      <c r="F178" s="51"/>
      <c r="G178" s="51"/>
      <c r="H178" s="51"/>
      <c r="I178" s="51"/>
      <c r="J178" s="51"/>
      <c r="K178" s="51"/>
      <c r="L178" s="51"/>
      <c r="M178" s="51"/>
      <c r="N178" s="51"/>
      <c r="O178" s="51"/>
      <c r="P178" s="51"/>
      <c r="Q178" s="51"/>
      <c r="R178" s="51"/>
      <c r="S178" s="51"/>
      <c r="T178" s="51"/>
      <c r="U178" s="51"/>
      <c r="V178" s="51"/>
      <c r="W178" s="51"/>
      <c r="X178" s="51"/>
      <c r="Y178" s="51"/>
      <c r="Z178" s="51"/>
    </row>
    <row r="179" spans="1:26" ht="14.25" customHeight="1" x14ac:dyDescent="0.3">
      <c r="A179" s="84"/>
      <c r="B179" s="51"/>
      <c r="C179" s="51"/>
      <c r="D179" s="85"/>
      <c r="E179" s="51"/>
      <c r="F179" s="51"/>
      <c r="G179" s="51"/>
      <c r="H179" s="51"/>
      <c r="I179" s="51"/>
      <c r="J179" s="51"/>
      <c r="K179" s="51"/>
      <c r="L179" s="51"/>
      <c r="M179" s="51"/>
      <c r="N179" s="51"/>
      <c r="O179" s="51"/>
      <c r="P179" s="51"/>
      <c r="Q179" s="51"/>
      <c r="R179" s="51"/>
      <c r="S179" s="51"/>
      <c r="T179" s="51"/>
      <c r="U179" s="51"/>
      <c r="V179" s="51"/>
      <c r="W179" s="51"/>
      <c r="X179" s="51"/>
      <c r="Y179" s="51"/>
      <c r="Z179" s="51"/>
    </row>
    <row r="180" spans="1:26" ht="14.25" customHeight="1" x14ac:dyDescent="0.3">
      <c r="A180" s="84"/>
      <c r="B180" s="51"/>
      <c r="C180" s="51"/>
      <c r="D180" s="85"/>
      <c r="E180" s="51"/>
      <c r="F180" s="51"/>
      <c r="G180" s="51"/>
      <c r="H180" s="51"/>
      <c r="I180" s="51"/>
      <c r="J180" s="51"/>
      <c r="K180" s="51"/>
      <c r="L180" s="51"/>
      <c r="M180" s="51"/>
      <c r="N180" s="51"/>
      <c r="O180" s="51"/>
      <c r="P180" s="51"/>
      <c r="Q180" s="51"/>
      <c r="R180" s="51"/>
      <c r="S180" s="51"/>
      <c r="T180" s="51"/>
      <c r="U180" s="51"/>
      <c r="V180" s="51"/>
      <c r="W180" s="51"/>
      <c r="X180" s="51"/>
      <c r="Y180" s="51"/>
      <c r="Z180" s="51"/>
    </row>
    <row r="181" spans="1:26" ht="14.25" customHeight="1" x14ac:dyDescent="0.3">
      <c r="A181" s="84"/>
      <c r="B181" s="51"/>
      <c r="C181" s="51"/>
      <c r="D181" s="85"/>
      <c r="E181" s="51"/>
      <c r="F181" s="51"/>
      <c r="G181" s="51"/>
      <c r="H181" s="51"/>
      <c r="I181" s="51"/>
      <c r="J181" s="51"/>
      <c r="K181" s="51"/>
      <c r="L181" s="51"/>
      <c r="M181" s="51"/>
      <c r="N181" s="51"/>
      <c r="O181" s="51"/>
      <c r="P181" s="51"/>
      <c r="Q181" s="51"/>
      <c r="R181" s="51"/>
      <c r="S181" s="51"/>
      <c r="T181" s="51"/>
      <c r="U181" s="51"/>
      <c r="V181" s="51"/>
      <c r="W181" s="51"/>
      <c r="X181" s="51"/>
      <c r="Y181" s="51"/>
      <c r="Z181" s="51"/>
    </row>
    <row r="182" spans="1:26" ht="14.25" customHeight="1" x14ac:dyDescent="0.3">
      <c r="A182" s="84"/>
      <c r="B182" s="51"/>
      <c r="C182" s="51"/>
      <c r="D182" s="85"/>
      <c r="E182" s="51"/>
      <c r="F182" s="51"/>
      <c r="G182" s="51"/>
      <c r="H182" s="51"/>
      <c r="I182" s="51"/>
      <c r="J182" s="51"/>
      <c r="K182" s="51"/>
      <c r="L182" s="51"/>
      <c r="M182" s="51"/>
      <c r="N182" s="51"/>
      <c r="O182" s="51"/>
      <c r="P182" s="51"/>
      <c r="Q182" s="51"/>
      <c r="R182" s="51"/>
      <c r="S182" s="51"/>
      <c r="T182" s="51"/>
      <c r="U182" s="51"/>
      <c r="V182" s="51"/>
      <c r="W182" s="51"/>
      <c r="X182" s="51"/>
      <c r="Y182" s="51"/>
      <c r="Z182" s="51"/>
    </row>
    <row r="183" spans="1:26" ht="14.25" customHeight="1" x14ac:dyDescent="0.3">
      <c r="A183" s="84"/>
      <c r="B183" s="51"/>
      <c r="C183" s="51"/>
      <c r="D183" s="85"/>
      <c r="E183" s="51"/>
      <c r="F183" s="51"/>
      <c r="G183" s="51"/>
      <c r="H183" s="51"/>
      <c r="I183" s="51"/>
      <c r="J183" s="51"/>
      <c r="K183" s="51"/>
      <c r="L183" s="51"/>
      <c r="M183" s="51"/>
      <c r="N183" s="51"/>
      <c r="O183" s="51"/>
      <c r="P183" s="51"/>
      <c r="Q183" s="51"/>
      <c r="R183" s="51"/>
      <c r="S183" s="51"/>
      <c r="T183" s="51"/>
      <c r="U183" s="51"/>
      <c r="V183" s="51"/>
      <c r="W183" s="51"/>
      <c r="X183" s="51"/>
      <c r="Y183" s="51"/>
      <c r="Z183" s="51"/>
    </row>
    <row r="184" spans="1:26" ht="14.25" customHeight="1" x14ac:dyDescent="0.3">
      <c r="A184" s="84"/>
      <c r="B184" s="51"/>
      <c r="C184" s="51"/>
      <c r="D184" s="85"/>
      <c r="E184" s="51"/>
      <c r="F184" s="51"/>
      <c r="G184" s="51"/>
      <c r="H184" s="51"/>
      <c r="I184" s="51"/>
      <c r="J184" s="51"/>
      <c r="K184" s="51"/>
      <c r="L184" s="51"/>
      <c r="M184" s="51"/>
      <c r="N184" s="51"/>
      <c r="O184" s="51"/>
      <c r="P184" s="51"/>
      <c r="Q184" s="51"/>
      <c r="R184" s="51"/>
      <c r="S184" s="51"/>
      <c r="T184" s="51"/>
      <c r="U184" s="51"/>
      <c r="V184" s="51"/>
      <c r="W184" s="51"/>
      <c r="X184" s="51"/>
      <c r="Y184" s="51"/>
      <c r="Z184" s="51"/>
    </row>
    <row r="185" spans="1:26" ht="14.25" customHeight="1" x14ac:dyDescent="0.3">
      <c r="A185" s="84"/>
      <c r="B185" s="51"/>
      <c r="C185" s="51"/>
      <c r="D185" s="85"/>
      <c r="E185" s="51"/>
      <c r="F185" s="51"/>
      <c r="G185" s="51"/>
      <c r="H185" s="51"/>
      <c r="I185" s="51"/>
      <c r="J185" s="51"/>
      <c r="K185" s="51"/>
      <c r="L185" s="51"/>
      <c r="M185" s="51"/>
      <c r="N185" s="51"/>
      <c r="O185" s="51"/>
      <c r="P185" s="51"/>
      <c r="Q185" s="51"/>
      <c r="R185" s="51"/>
      <c r="S185" s="51"/>
      <c r="T185" s="51"/>
      <c r="U185" s="51"/>
      <c r="V185" s="51"/>
      <c r="W185" s="51"/>
      <c r="X185" s="51"/>
      <c r="Y185" s="51"/>
      <c r="Z185" s="51"/>
    </row>
    <row r="186" spans="1:26" ht="14.25" customHeight="1" x14ac:dyDescent="0.3">
      <c r="A186" s="84"/>
      <c r="B186" s="51"/>
      <c r="C186" s="51"/>
      <c r="D186" s="85"/>
      <c r="E186" s="51"/>
      <c r="F186" s="51"/>
      <c r="G186" s="51"/>
      <c r="H186" s="51"/>
      <c r="I186" s="51"/>
      <c r="J186" s="51"/>
      <c r="K186" s="51"/>
      <c r="L186" s="51"/>
      <c r="M186" s="51"/>
      <c r="N186" s="51"/>
      <c r="O186" s="51"/>
      <c r="P186" s="51"/>
      <c r="Q186" s="51"/>
      <c r="R186" s="51"/>
      <c r="S186" s="51"/>
      <c r="T186" s="51"/>
      <c r="U186" s="51"/>
      <c r="V186" s="51"/>
      <c r="W186" s="51"/>
      <c r="X186" s="51"/>
      <c r="Y186" s="51"/>
      <c r="Z186" s="51"/>
    </row>
    <row r="187" spans="1:26" ht="14.25" customHeight="1" x14ac:dyDescent="0.3">
      <c r="A187" s="84"/>
      <c r="B187" s="51"/>
      <c r="C187" s="51"/>
      <c r="D187" s="85"/>
      <c r="E187" s="51"/>
      <c r="F187" s="51"/>
      <c r="G187" s="51"/>
      <c r="H187" s="51"/>
      <c r="I187" s="51"/>
      <c r="J187" s="51"/>
      <c r="K187" s="51"/>
      <c r="L187" s="51"/>
      <c r="M187" s="51"/>
      <c r="N187" s="51"/>
      <c r="O187" s="51"/>
      <c r="P187" s="51"/>
      <c r="Q187" s="51"/>
      <c r="R187" s="51"/>
      <c r="S187" s="51"/>
      <c r="T187" s="51"/>
      <c r="U187" s="51"/>
      <c r="V187" s="51"/>
      <c r="W187" s="51"/>
      <c r="X187" s="51"/>
      <c r="Y187" s="51"/>
      <c r="Z187" s="51"/>
    </row>
    <row r="188" spans="1:26" ht="14.25" customHeight="1" x14ac:dyDescent="0.3">
      <c r="A188" s="84"/>
      <c r="B188" s="51"/>
      <c r="C188" s="51"/>
      <c r="D188" s="85"/>
      <c r="E188" s="51"/>
      <c r="F188" s="51"/>
      <c r="G188" s="51"/>
      <c r="H188" s="51"/>
      <c r="I188" s="51"/>
      <c r="J188" s="51"/>
      <c r="K188" s="51"/>
      <c r="L188" s="51"/>
      <c r="M188" s="51"/>
      <c r="N188" s="51"/>
      <c r="O188" s="51"/>
      <c r="P188" s="51"/>
      <c r="Q188" s="51"/>
      <c r="R188" s="51"/>
      <c r="S188" s="51"/>
      <c r="T188" s="51"/>
      <c r="U188" s="51"/>
      <c r="V188" s="51"/>
      <c r="W188" s="51"/>
      <c r="X188" s="51"/>
      <c r="Y188" s="51"/>
      <c r="Z188" s="51"/>
    </row>
    <row r="189" spans="1:26" ht="14.25" customHeight="1" x14ac:dyDescent="0.3">
      <c r="A189" s="84"/>
      <c r="B189" s="51"/>
      <c r="C189" s="51"/>
      <c r="D189" s="85"/>
      <c r="E189" s="51"/>
      <c r="F189" s="51"/>
      <c r="G189" s="51"/>
      <c r="H189" s="51"/>
      <c r="I189" s="51"/>
      <c r="J189" s="51"/>
      <c r="K189" s="51"/>
      <c r="L189" s="51"/>
      <c r="M189" s="51"/>
      <c r="N189" s="51"/>
      <c r="O189" s="51"/>
      <c r="P189" s="51"/>
      <c r="Q189" s="51"/>
      <c r="R189" s="51"/>
      <c r="S189" s="51"/>
      <c r="T189" s="51"/>
      <c r="U189" s="51"/>
      <c r="V189" s="51"/>
      <c r="W189" s="51"/>
      <c r="X189" s="51"/>
      <c r="Y189" s="51"/>
      <c r="Z189" s="51"/>
    </row>
    <row r="190" spans="1:26" ht="14.25" customHeight="1" x14ac:dyDescent="0.3">
      <c r="A190" s="84"/>
      <c r="B190" s="51"/>
      <c r="C190" s="51"/>
      <c r="D190" s="85"/>
      <c r="E190" s="51"/>
      <c r="F190" s="51"/>
      <c r="G190" s="51"/>
      <c r="H190" s="51"/>
      <c r="I190" s="51"/>
      <c r="J190" s="51"/>
      <c r="K190" s="51"/>
      <c r="L190" s="51"/>
      <c r="M190" s="51"/>
      <c r="N190" s="51"/>
      <c r="O190" s="51"/>
      <c r="P190" s="51"/>
      <c r="Q190" s="51"/>
      <c r="R190" s="51"/>
      <c r="S190" s="51"/>
      <c r="T190" s="51"/>
      <c r="U190" s="51"/>
      <c r="V190" s="51"/>
      <c r="W190" s="51"/>
      <c r="X190" s="51"/>
      <c r="Y190" s="51"/>
      <c r="Z190" s="51"/>
    </row>
    <row r="191" spans="1:26" ht="14.25" customHeight="1" x14ac:dyDescent="0.3">
      <c r="A191" s="84"/>
      <c r="B191" s="51"/>
      <c r="C191" s="51"/>
      <c r="D191" s="85"/>
      <c r="E191" s="51"/>
      <c r="F191" s="51"/>
      <c r="G191" s="51"/>
      <c r="H191" s="51"/>
      <c r="I191" s="51"/>
      <c r="J191" s="51"/>
      <c r="K191" s="51"/>
      <c r="L191" s="51"/>
      <c r="M191" s="51"/>
      <c r="N191" s="51"/>
      <c r="O191" s="51"/>
      <c r="P191" s="51"/>
      <c r="Q191" s="51"/>
      <c r="R191" s="51"/>
      <c r="S191" s="51"/>
      <c r="T191" s="51"/>
      <c r="U191" s="51"/>
      <c r="V191" s="51"/>
      <c r="W191" s="51"/>
      <c r="X191" s="51"/>
      <c r="Y191" s="51"/>
      <c r="Z191" s="51"/>
    </row>
    <row r="192" spans="1:26" ht="14.25" customHeight="1" x14ac:dyDescent="0.3">
      <c r="A192" s="84"/>
      <c r="B192" s="51"/>
      <c r="C192" s="51"/>
      <c r="D192" s="85"/>
      <c r="E192" s="51"/>
      <c r="F192" s="51"/>
      <c r="G192" s="51"/>
      <c r="H192" s="51"/>
      <c r="I192" s="51"/>
      <c r="J192" s="51"/>
      <c r="K192" s="51"/>
      <c r="L192" s="51"/>
      <c r="M192" s="51"/>
      <c r="N192" s="51"/>
      <c r="O192" s="51"/>
      <c r="P192" s="51"/>
      <c r="Q192" s="51"/>
      <c r="R192" s="51"/>
      <c r="S192" s="51"/>
      <c r="T192" s="51"/>
      <c r="U192" s="51"/>
      <c r="V192" s="51"/>
      <c r="W192" s="51"/>
      <c r="X192" s="51"/>
      <c r="Y192" s="51"/>
      <c r="Z192" s="51"/>
    </row>
    <row r="193" spans="1:26" ht="14.25" customHeight="1" x14ac:dyDescent="0.3">
      <c r="A193" s="84"/>
      <c r="B193" s="51"/>
      <c r="C193" s="51"/>
      <c r="D193" s="85"/>
      <c r="E193" s="51"/>
      <c r="F193" s="51"/>
      <c r="G193" s="51"/>
      <c r="H193" s="51"/>
      <c r="I193" s="51"/>
      <c r="J193" s="51"/>
      <c r="K193" s="51"/>
      <c r="L193" s="51"/>
      <c r="M193" s="51"/>
      <c r="N193" s="51"/>
      <c r="O193" s="51"/>
      <c r="P193" s="51"/>
      <c r="Q193" s="51"/>
      <c r="R193" s="51"/>
      <c r="S193" s="51"/>
      <c r="T193" s="51"/>
      <c r="U193" s="51"/>
      <c r="V193" s="51"/>
      <c r="W193" s="51"/>
      <c r="X193" s="51"/>
      <c r="Y193" s="51"/>
      <c r="Z193" s="51"/>
    </row>
    <row r="194" spans="1:26" ht="14.25" customHeight="1" x14ac:dyDescent="0.3">
      <c r="A194" s="84"/>
      <c r="B194" s="51"/>
      <c r="C194" s="51"/>
      <c r="D194" s="85"/>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ht="14.25" customHeight="1" x14ac:dyDescent="0.3">
      <c r="A195" s="84"/>
      <c r="B195" s="51"/>
      <c r="C195" s="51"/>
      <c r="D195" s="85"/>
      <c r="E195" s="51"/>
      <c r="F195" s="51"/>
      <c r="G195" s="51"/>
      <c r="H195" s="51"/>
      <c r="I195" s="51"/>
      <c r="J195" s="51"/>
      <c r="K195" s="51"/>
      <c r="L195" s="51"/>
      <c r="M195" s="51"/>
      <c r="N195" s="51"/>
      <c r="O195" s="51"/>
      <c r="P195" s="51"/>
      <c r="Q195" s="51"/>
      <c r="R195" s="51"/>
      <c r="S195" s="51"/>
      <c r="T195" s="51"/>
      <c r="U195" s="51"/>
      <c r="V195" s="51"/>
      <c r="W195" s="51"/>
      <c r="X195" s="51"/>
      <c r="Y195" s="51"/>
      <c r="Z195" s="51"/>
    </row>
    <row r="196" spans="1:26" ht="14.25" customHeight="1" x14ac:dyDescent="0.3">
      <c r="A196" s="84"/>
      <c r="B196" s="51"/>
      <c r="C196" s="51"/>
      <c r="D196" s="85"/>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ht="14.25" customHeight="1" x14ac:dyDescent="0.3">
      <c r="A197" s="84"/>
      <c r="B197" s="51"/>
      <c r="C197" s="51"/>
      <c r="D197" s="85"/>
      <c r="E197" s="51"/>
      <c r="F197" s="51"/>
      <c r="G197" s="51"/>
      <c r="H197" s="51"/>
      <c r="I197" s="51"/>
      <c r="J197" s="51"/>
      <c r="K197" s="51"/>
      <c r="L197" s="51"/>
      <c r="M197" s="51"/>
      <c r="N197" s="51"/>
      <c r="O197" s="51"/>
      <c r="P197" s="51"/>
      <c r="Q197" s="51"/>
      <c r="R197" s="51"/>
      <c r="S197" s="51"/>
      <c r="T197" s="51"/>
      <c r="U197" s="51"/>
      <c r="V197" s="51"/>
      <c r="W197" s="51"/>
      <c r="X197" s="51"/>
      <c r="Y197" s="51"/>
      <c r="Z197" s="51"/>
    </row>
    <row r="198" spans="1:26" ht="14.25" customHeight="1" x14ac:dyDescent="0.3">
      <c r="A198" s="84"/>
      <c r="B198" s="51"/>
      <c r="C198" s="51"/>
      <c r="D198" s="85"/>
      <c r="E198" s="51"/>
      <c r="F198" s="51"/>
      <c r="G198" s="51"/>
      <c r="H198" s="51"/>
      <c r="I198" s="51"/>
      <c r="J198" s="51"/>
      <c r="K198" s="51"/>
      <c r="L198" s="51"/>
      <c r="M198" s="51"/>
      <c r="N198" s="51"/>
      <c r="O198" s="51"/>
      <c r="P198" s="51"/>
      <c r="Q198" s="51"/>
      <c r="R198" s="51"/>
      <c r="S198" s="51"/>
      <c r="T198" s="51"/>
      <c r="U198" s="51"/>
      <c r="V198" s="51"/>
      <c r="W198" s="51"/>
      <c r="X198" s="51"/>
      <c r="Y198" s="51"/>
      <c r="Z198" s="51"/>
    </row>
    <row r="199" spans="1:26" ht="14.25" customHeight="1" x14ac:dyDescent="0.3">
      <c r="A199" s="84"/>
      <c r="B199" s="51"/>
      <c r="C199" s="51"/>
      <c r="D199" s="85"/>
      <c r="E199" s="51"/>
      <c r="F199" s="51"/>
      <c r="G199" s="51"/>
      <c r="H199" s="51"/>
      <c r="I199" s="51"/>
      <c r="J199" s="51"/>
      <c r="K199" s="51"/>
      <c r="L199" s="51"/>
      <c r="M199" s="51"/>
      <c r="N199" s="51"/>
      <c r="O199" s="51"/>
      <c r="P199" s="51"/>
      <c r="Q199" s="51"/>
      <c r="R199" s="51"/>
      <c r="S199" s="51"/>
      <c r="T199" s="51"/>
      <c r="U199" s="51"/>
      <c r="V199" s="51"/>
      <c r="W199" s="51"/>
      <c r="X199" s="51"/>
      <c r="Y199" s="51"/>
      <c r="Z199" s="51"/>
    </row>
    <row r="200" spans="1:26" ht="14.25" customHeight="1" x14ac:dyDescent="0.3">
      <c r="A200" s="84"/>
      <c r="B200" s="51"/>
      <c r="C200" s="51"/>
      <c r="D200" s="85"/>
      <c r="E200" s="51"/>
      <c r="F200" s="51"/>
      <c r="G200" s="51"/>
      <c r="H200" s="51"/>
      <c r="I200" s="51"/>
      <c r="J200" s="51"/>
      <c r="K200" s="51"/>
      <c r="L200" s="51"/>
      <c r="M200" s="51"/>
      <c r="N200" s="51"/>
      <c r="O200" s="51"/>
      <c r="P200" s="51"/>
      <c r="Q200" s="51"/>
      <c r="R200" s="51"/>
      <c r="S200" s="51"/>
      <c r="T200" s="51"/>
      <c r="U200" s="51"/>
      <c r="V200" s="51"/>
      <c r="W200" s="51"/>
      <c r="X200" s="51"/>
      <c r="Y200" s="51"/>
      <c r="Z200" s="51"/>
    </row>
    <row r="201" spans="1:26" ht="14.25" customHeight="1" x14ac:dyDescent="0.3">
      <c r="A201" s="84"/>
      <c r="B201" s="51"/>
      <c r="C201" s="51"/>
      <c r="D201" s="85"/>
      <c r="E201" s="51"/>
      <c r="F201" s="51"/>
      <c r="G201" s="51"/>
      <c r="H201" s="51"/>
      <c r="I201" s="51"/>
      <c r="J201" s="51"/>
      <c r="K201" s="51"/>
      <c r="L201" s="51"/>
      <c r="M201" s="51"/>
      <c r="N201" s="51"/>
      <c r="O201" s="51"/>
      <c r="P201" s="51"/>
      <c r="Q201" s="51"/>
      <c r="R201" s="51"/>
      <c r="S201" s="51"/>
      <c r="T201" s="51"/>
      <c r="U201" s="51"/>
      <c r="V201" s="51"/>
      <c r="W201" s="51"/>
      <c r="X201" s="51"/>
      <c r="Y201" s="51"/>
      <c r="Z201" s="51"/>
    </row>
    <row r="202" spans="1:26" ht="14.25" customHeight="1" x14ac:dyDescent="0.3">
      <c r="A202" s="84"/>
      <c r="B202" s="51"/>
      <c r="C202" s="51"/>
      <c r="D202" s="85"/>
      <c r="E202" s="51"/>
      <c r="F202" s="51"/>
      <c r="G202" s="51"/>
      <c r="H202" s="51"/>
      <c r="I202" s="51"/>
      <c r="J202" s="51"/>
      <c r="K202" s="51"/>
      <c r="L202" s="51"/>
      <c r="M202" s="51"/>
      <c r="N202" s="51"/>
      <c r="O202" s="51"/>
      <c r="P202" s="51"/>
      <c r="Q202" s="51"/>
      <c r="R202" s="51"/>
      <c r="S202" s="51"/>
      <c r="T202" s="51"/>
      <c r="U202" s="51"/>
      <c r="V202" s="51"/>
      <c r="W202" s="51"/>
      <c r="X202" s="51"/>
      <c r="Y202" s="51"/>
      <c r="Z202" s="51"/>
    </row>
    <row r="203" spans="1:26" ht="14.25" customHeight="1" x14ac:dyDescent="0.3">
      <c r="A203" s="84"/>
      <c r="B203" s="51"/>
      <c r="C203" s="51"/>
      <c r="D203" s="85"/>
      <c r="E203" s="51"/>
      <c r="F203" s="51"/>
      <c r="G203" s="51"/>
      <c r="H203" s="51"/>
      <c r="I203" s="51"/>
      <c r="J203" s="51"/>
      <c r="K203" s="51"/>
      <c r="L203" s="51"/>
      <c r="M203" s="51"/>
      <c r="N203" s="51"/>
      <c r="O203" s="51"/>
      <c r="P203" s="51"/>
      <c r="Q203" s="51"/>
      <c r="R203" s="51"/>
      <c r="S203" s="51"/>
      <c r="T203" s="51"/>
      <c r="U203" s="51"/>
      <c r="V203" s="51"/>
      <c r="W203" s="51"/>
      <c r="X203" s="51"/>
      <c r="Y203" s="51"/>
      <c r="Z203" s="51"/>
    </row>
    <row r="204" spans="1:26" ht="14.25" customHeight="1" x14ac:dyDescent="0.3">
      <c r="A204" s="84"/>
      <c r="B204" s="51"/>
      <c r="C204" s="51"/>
      <c r="D204" s="85"/>
      <c r="E204" s="51"/>
      <c r="F204" s="51"/>
      <c r="G204" s="51"/>
      <c r="H204" s="51"/>
      <c r="I204" s="51"/>
      <c r="J204" s="51"/>
      <c r="K204" s="51"/>
      <c r="L204" s="51"/>
      <c r="M204" s="51"/>
      <c r="N204" s="51"/>
      <c r="O204" s="51"/>
      <c r="P204" s="51"/>
      <c r="Q204" s="51"/>
      <c r="R204" s="51"/>
      <c r="S204" s="51"/>
      <c r="T204" s="51"/>
      <c r="U204" s="51"/>
      <c r="V204" s="51"/>
      <c r="W204" s="51"/>
      <c r="X204" s="51"/>
      <c r="Y204" s="51"/>
      <c r="Z204" s="51"/>
    </row>
    <row r="205" spans="1:26" ht="14.25" customHeight="1" x14ac:dyDescent="0.3">
      <c r="A205" s="84"/>
      <c r="B205" s="51"/>
      <c r="C205" s="51"/>
      <c r="D205" s="85"/>
      <c r="E205" s="51"/>
      <c r="F205" s="51"/>
      <c r="G205" s="51"/>
      <c r="H205" s="51"/>
      <c r="I205" s="51"/>
      <c r="J205" s="51"/>
      <c r="K205" s="51"/>
      <c r="L205" s="51"/>
      <c r="M205" s="51"/>
      <c r="N205" s="51"/>
      <c r="O205" s="51"/>
      <c r="P205" s="51"/>
      <c r="Q205" s="51"/>
      <c r="R205" s="51"/>
      <c r="S205" s="51"/>
      <c r="T205" s="51"/>
      <c r="U205" s="51"/>
      <c r="V205" s="51"/>
      <c r="W205" s="51"/>
      <c r="X205" s="51"/>
      <c r="Y205" s="51"/>
      <c r="Z205" s="51"/>
    </row>
    <row r="206" spans="1:26" ht="14.25" customHeight="1" x14ac:dyDescent="0.3">
      <c r="A206" s="84"/>
      <c r="B206" s="51"/>
      <c r="C206" s="51"/>
      <c r="D206" s="85"/>
      <c r="E206" s="51"/>
      <c r="F206" s="51"/>
      <c r="G206" s="51"/>
      <c r="H206" s="51"/>
      <c r="I206" s="51"/>
      <c r="J206" s="51"/>
      <c r="K206" s="51"/>
      <c r="L206" s="51"/>
      <c r="M206" s="51"/>
      <c r="N206" s="51"/>
      <c r="O206" s="51"/>
      <c r="P206" s="51"/>
      <c r="Q206" s="51"/>
      <c r="R206" s="51"/>
      <c r="S206" s="51"/>
      <c r="T206" s="51"/>
      <c r="U206" s="51"/>
      <c r="V206" s="51"/>
      <c r="W206" s="51"/>
      <c r="X206" s="51"/>
      <c r="Y206" s="51"/>
      <c r="Z206" s="51"/>
    </row>
    <row r="207" spans="1:26" ht="14.25" customHeight="1" x14ac:dyDescent="0.3">
      <c r="A207" s="84"/>
      <c r="B207" s="51"/>
      <c r="C207" s="51"/>
      <c r="D207" s="85"/>
      <c r="E207" s="51"/>
      <c r="F207" s="51"/>
      <c r="G207" s="51"/>
      <c r="H207" s="51"/>
      <c r="I207" s="51"/>
      <c r="J207" s="51"/>
      <c r="K207" s="51"/>
      <c r="L207" s="51"/>
      <c r="M207" s="51"/>
      <c r="N207" s="51"/>
      <c r="O207" s="51"/>
      <c r="P207" s="51"/>
      <c r="Q207" s="51"/>
      <c r="R207" s="51"/>
      <c r="S207" s="51"/>
      <c r="T207" s="51"/>
      <c r="U207" s="51"/>
      <c r="V207" s="51"/>
      <c r="W207" s="51"/>
      <c r="X207" s="51"/>
      <c r="Y207" s="51"/>
      <c r="Z207" s="51"/>
    </row>
    <row r="208" spans="1:26" ht="14.25" customHeight="1" x14ac:dyDescent="0.3">
      <c r="A208" s="84"/>
      <c r="B208" s="51"/>
      <c r="C208" s="51"/>
      <c r="D208" s="85"/>
      <c r="E208" s="51"/>
      <c r="F208" s="51"/>
      <c r="G208" s="51"/>
      <c r="H208" s="51"/>
      <c r="I208" s="51"/>
      <c r="J208" s="51"/>
      <c r="K208" s="51"/>
      <c r="L208" s="51"/>
      <c r="M208" s="51"/>
      <c r="N208" s="51"/>
      <c r="O208" s="51"/>
      <c r="P208" s="51"/>
      <c r="Q208" s="51"/>
      <c r="R208" s="51"/>
      <c r="S208" s="51"/>
      <c r="T208" s="51"/>
      <c r="U208" s="51"/>
      <c r="V208" s="51"/>
      <c r="W208" s="51"/>
      <c r="X208" s="51"/>
      <c r="Y208" s="51"/>
      <c r="Z208" s="51"/>
    </row>
    <row r="209" spans="1:26" ht="14.25" customHeight="1" x14ac:dyDescent="0.3">
      <c r="A209" s="84"/>
      <c r="B209" s="51"/>
      <c r="C209" s="51"/>
      <c r="D209" s="85"/>
      <c r="E209" s="51"/>
      <c r="F209" s="51"/>
      <c r="G209" s="51"/>
      <c r="H209" s="51"/>
      <c r="I209" s="51"/>
      <c r="J209" s="51"/>
      <c r="K209" s="51"/>
      <c r="L209" s="51"/>
      <c r="M209" s="51"/>
      <c r="N209" s="51"/>
      <c r="O209" s="51"/>
      <c r="P209" s="51"/>
      <c r="Q209" s="51"/>
      <c r="R209" s="51"/>
      <c r="S209" s="51"/>
      <c r="T209" s="51"/>
      <c r="U209" s="51"/>
      <c r="V209" s="51"/>
      <c r="W209" s="51"/>
      <c r="X209" s="51"/>
      <c r="Y209" s="51"/>
      <c r="Z209" s="51"/>
    </row>
    <row r="210" spans="1:26" ht="14.25" customHeight="1" x14ac:dyDescent="0.3">
      <c r="A210" s="84"/>
      <c r="B210" s="51"/>
      <c r="C210" s="51"/>
      <c r="D210" s="85"/>
      <c r="E210" s="51"/>
      <c r="F210" s="51"/>
      <c r="G210" s="51"/>
      <c r="H210" s="51"/>
      <c r="I210" s="51"/>
      <c r="J210" s="51"/>
      <c r="K210" s="51"/>
      <c r="L210" s="51"/>
      <c r="M210" s="51"/>
      <c r="N210" s="51"/>
      <c r="O210" s="51"/>
      <c r="P210" s="51"/>
      <c r="Q210" s="51"/>
      <c r="R210" s="51"/>
      <c r="S210" s="51"/>
      <c r="T210" s="51"/>
      <c r="U210" s="51"/>
      <c r="V210" s="51"/>
      <c r="W210" s="51"/>
      <c r="X210" s="51"/>
      <c r="Y210" s="51"/>
      <c r="Z210" s="51"/>
    </row>
    <row r="211" spans="1:26" ht="14.25" customHeight="1" x14ac:dyDescent="0.3">
      <c r="A211" s="84"/>
      <c r="B211" s="51"/>
      <c r="C211" s="51"/>
      <c r="D211" s="85"/>
      <c r="E211" s="51"/>
      <c r="F211" s="51"/>
      <c r="G211" s="51"/>
      <c r="H211" s="51"/>
      <c r="I211" s="51"/>
      <c r="J211" s="51"/>
      <c r="K211" s="51"/>
      <c r="L211" s="51"/>
      <c r="M211" s="51"/>
      <c r="N211" s="51"/>
      <c r="O211" s="51"/>
      <c r="P211" s="51"/>
      <c r="Q211" s="51"/>
      <c r="R211" s="51"/>
      <c r="S211" s="51"/>
      <c r="T211" s="51"/>
      <c r="U211" s="51"/>
      <c r="V211" s="51"/>
      <c r="W211" s="51"/>
      <c r="X211" s="51"/>
      <c r="Y211" s="51"/>
      <c r="Z211" s="51"/>
    </row>
    <row r="212" spans="1:26" ht="14.25" customHeight="1" x14ac:dyDescent="0.3">
      <c r="A212" s="84"/>
      <c r="B212" s="51"/>
      <c r="C212" s="51"/>
      <c r="D212" s="85"/>
      <c r="E212" s="51"/>
      <c r="F212" s="51"/>
      <c r="G212" s="51"/>
      <c r="H212" s="51"/>
      <c r="I212" s="51"/>
      <c r="J212" s="51"/>
      <c r="K212" s="51"/>
      <c r="L212" s="51"/>
      <c r="M212" s="51"/>
      <c r="N212" s="51"/>
      <c r="O212" s="51"/>
      <c r="P212" s="51"/>
      <c r="Q212" s="51"/>
      <c r="R212" s="51"/>
      <c r="S212" s="51"/>
      <c r="T212" s="51"/>
      <c r="U212" s="51"/>
      <c r="V212" s="51"/>
      <c r="W212" s="51"/>
      <c r="X212" s="51"/>
      <c r="Y212" s="51"/>
      <c r="Z212" s="51"/>
    </row>
    <row r="213" spans="1:26" ht="14.25" customHeight="1" x14ac:dyDescent="0.3">
      <c r="A213" s="84"/>
      <c r="B213" s="51"/>
      <c r="C213" s="51"/>
      <c r="D213" s="85"/>
      <c r="E213" s="51"/>
      <c r="F213" s="51"/>
      <c r="G213" s="51"/>
      <c r="H213" s="51"/>
      <c r="I213" s="51"/>
      <c r="J213" s="51"/>
      <c r="K213" s="51"/>
      <c r="L213" s="51"/>
      <c r="M213" s="51"/>
      <c r="N213" s="51"/>
      <c r="O213" s="51"/>
      <c r="P213" s="51"/>
      <c r="Q213" s="51"/>
      <c r="R213" s="51"/>
      <c r="S213" s="51"/>
      <c r="T213" s="51"/>
      <c r="U213" s="51"/>
      <c r="V213" s="51"/>
      <c r="W213" s="51"/>
      <c r="X213" s="51"/>
      <c r="Y213" s="51"/>
      <c r="Z213" s="51"/>
    </row>
    <row r="214" spans="1:26" ht="14.25" customHeight="1" x14ac:dyDescent="0.3">
      <c r="A214" s="84"/>
      <c r="B214" s="51"/>
      <c r="C214" s="51"/>
      <c r="D214" s="85"/>
      <c r="E214" s="51"/>
      <c r="F214" s="51"/>
      <c r="G214" s="51"/>
      <c r="H214" s="51"/>
      <c r="I214" s="51"/>
      <c r="J214" s="51"/>
      <c r="K214" s="51"/>
      <c r="L214" s="51"/>
      <c r="M214" s="51"/>
      <c r="N214" s="51"/>
      <c r="O214" s="51"/>
      <c r="P214" s="51"/>
      <c r="Q214" s="51"/>
      <c r="R214" s="51"/>
      <c r="S214" s="51"/>
      <c r="T214" s="51"/>
      <c r="U214" s="51"/>
      <c r="V214" s="51"/>
      <c r="W214" s="51"/>
      <c r="X214" s="51"/>
      <c r="Y214" s="51"/>
      <c r="Z214" s="51"/>
    </row>
    <row r="215" spans="1:26" ht="14.25" customHeight="1" x14ac:dyDescent="0.3">
      <c r="A215" s="84"/>
      <c r="B215" s="51"/>
      <c r="C215" s="51"/>
      <c r="D215" s="85"/>
      <c r="E215" s="51"/>
      <c r="F215" s="51"/>
      <c r="G215" s="51"/>
      <c r="H215" s="51"/>
      <c r="I215" s="51"/>
      <c r="J215" s="51"/>
      <c r="K215" s="51"/>
      <c r="L215" s="51"/>
      <c r="M215" s="51"/>
      <c r="N215" s="51"/>
      <c r="O215" s="51"/>
      <c r="P215" s="51"/>
      <c r="Q215" s="51"/>
      <c r="R215" s="51"/>
      <c r="S215" s="51"/>
      <c r="T215" s="51"/>
      <c r="U215" s="51"/>
      <c r="V215" s="51"/>
      <c r="W215" s="51"/>
      <c r="X215" s="51"/>
      <c r="Y215" s="51"/>
      <c r="Z215" s="51"/>
    </row>
    <row r="216" spans="1:26" ht="14.25" customHeight="1" x14ac:dyDescent="0.3">
      <c r="A216" s="84"/>
      <c r="B216" s="51"/>
      <c r="C216" s="51"/>
      <c r="D216" s="85"/>
      <c r="E216" s="51"/>
      <c r="F216" s="51"/>
      <c r="G216" s="51"/>
      <c r="H216" s="51"/>
      <c r="I216" s="51"/>
      <c r="J216" s="51"/>
      <c r="K216" s="51"/>
      <c r="L216" s="51"/>
      <c r="M216" s="51"/>
      <c r="N216" s="51"/>
      <c r="O216" s="51"/>
      <c r="P216" s="51"/>
      <c r="Q216" s="51"/>
      <c r="R216" s="51"/>
      <c r="S216" s="51"/>
      <c r="T216" s="51"/>
      <c r="U216" s="51"/>
      <c r="V216" s="51"/>
      <c r="W216" s="51"/>
      <c r="X216" s="51"/>
      <c r="Y216" s="51"/>
      <c r="Z216" s="51"/>
    </row>
    <row r="217" spans="1:26" ht="14.25" customHeight="1" x14ac:dyDescent="0.3">
      <c r="A217" s="84"/>
      <c r="B217" s="51"/>
      <c r="C217" s="51"/>
      <c r="D217" s="85"/>
      <c r="E217" s="51"/>
      <c r="F217" s="51"/>
      <c r="G217" s="51"/>
      <c r="H217" s="51"/>
      <c r="I217" s="51"/>
      <c r="J217" s="51"/>
      <c r="K217" s="51"/>
      <c r="L217" s="51"/>
      <c r="M217" s="51"/>
      <c r="N217" s="51"/>
      <c r="O217" s="51"/>
      <c r="P217" s="51"/>
      <c r="Q217" s="51"/>
      <c r="R217" s="51"/>
      <c r="S217" s="51"/>
      <c r="T217" s="51"/>
      <c r="U217" s="51"/>
      <c r="V217" s="51"/>
      <c r="W217" s="51"/>
      <c r="X217" s="51"/>
      <c r="Y217" s="51"/>
      <c r="Z217" s="51"/>
    </row>
    <row r="218" spans="1:26" ht="14.25" customHeight="1" x14ac:dyDescent="0.3">
      <c r="A218" s="84"/>
      <c r="B218" s="51"/>
      <c r="C218" s="51"/>
      <c r="D218" s="85"/>
      <c r="E218" s="51"/>
      <c r="F218" s="51"/>
      <c r="G218" s="51"/>
      <c r="H218" s="51"/>
      <c r="I218" s="51"/>
      <c r="J218" s="51"/>
      <c r="K218" s="51"/>
      <c r="L218" s="51"/>
      <c r="M218" s="51"/>
      <c r="N218" s="51"/>
      <c r="O218" s="51"/>
      <c r="P218" s="51"/>
      <c r="Q218" s="51"/>
      <c r="R218" s="51"/>
      <c r="S218" s="51"/>
      <c r="T218" s="51"/>
      <c r="U218" s="51"/>
      <c r="V218" s="51"/>
      <c r="W218" s="51"/>
      <c r="X218" s="51"/>
      <c r="Y218" s="51"/>
      <c r="Z218" s="51"/>
    </row>
    <row r="219" spans="1:26" ht="14.25" customHeight="1" x14ac:dyDescent="0.3">
      <c r="A219" s="84"/>
      <c r="B219" s="51"/>
      <c r="C219" s="51"/>
      <c r="D219" s="85"/>
      <c r="E219" s="51"/>
      <c r="F219" s="51"/>
      <c r="G219" s="51"/>
      <c r="H219" s="51"/>
      <c r="I219" s="51"/>
      <c r="J219" s="51"/>
      <c r="K219" s="51"/>
      <c r="L219" s="51"/>
      <c r="M219" s="51"/>
      <c r="N219" s="51"/>
      <c r="O219" s="51"/>
      <c r="P219" s="51"/>
      <c r="Q219" s="51"/>
      <c r="R219" s="51"/>
      <c r="S219" s="51"/>
      <c r="T219" s="51"/>
      <c r="U219" s="51"/>
      <c r="V219" s="51"/>
      <c r="W219" s="51"/>
      <c r="X219" s="51"/>
      <c r="Y219" s="51"/>
      <c r="Z219" s="51"/>
    </row>
    <row r="220" spans="1:26" ht="14.25" customHeight="1" x14ac:dyDescent="0.3">
      <c r="A220" s="84"/>
      <c r="B220" s="51"/>
      <c r="C220" s="51"/>
      <c r="D220" s="85"/>
      <c r="E220" s="51"/>
      <c r="F220" s="51"/>
      <c r="G220" s="51"/>
      <c r="H220" s="51"/>
      <c r="I220" s="51"/>
      <c r="J220" s="51"/>
      <c r="K220" s="51"/>
      <c r="L220" s="51"/>
      <c r="M220" s="51"/>
      <c r="N220" s="51"/>
      <c r="O220" s="51"/>
      <c r="P220" s="51"/>
      <c r="Q220" s="51"/>
      <c r="R220" s="51"/>
      <c r="S220" s="51"/>
      <c r="T220" s="51"/>
      <c r="U220" s="51"/>
      <c r="V220" s="51"/>
      <c r="W220" s="51"/>
      <c r="X220" s="51"/>
      <c r="Y220" s="51"/>
      <c r="Z220" s="51"/>
    </row>
    <row r="221" spans="1:26" ht="14.25" customHeight="1" x14ac:dyDescent="0.3">
      <c r="A221" s="84"/>
      <c r="B221" s="51"/>
      <c r="C221" s="51"/>
      <c r="D221" s="85"/>
      <c r="E221" s="51"/>
      <c r="F221" s="51"/>
      <c r="G221" s="51"/>
      <c r="H221" s="51"/>
      <c r="I221" s="51"/>
      <c r="J221" s="51"/>
      <c r="K221" s="51"/>
      <c r="L221" s="51"/>
      <c r="M221" s="51"/>
      <c r="N221" s="51"/>
      <c r="O221" s="51"/>
      <c r="P221" s="51"/>
      <c r="Q221" s="51"/>
      <c r="R221" s="51"/>
      <c r="S221" s="51"/>
      <c r="T221" s="51"/>
      <c r="U221" s="51"/>
      <c r="V221" s="51"/>
      <c r="W221" s="51"/>
      <c r="X221" s="51"/>
      <c r="Y221" s="51"/>
      <c r="Z221" s="51"/>
    </row>
    <row r="222" spans="1:26" ht="14.25" customHeight="1" x14ac:dyDescent="0.3">
      <c r="A222" s="84"/>
      <c r="B222" s="51"/>
      <c r="C222" s="51"/>
      <c r="D222" s="85"/>
      <c r="E222" s="51"/>
      <c r="F222" s="51"/>
      <c r="G222" s="51"/>
      <c r="H222" s="51"/>
      <c r="I222" s="51"/>
      <c r="J222" s="51"/>
      <c r="K222" s="51"/>
      <c r="L222" s="51"/>
      <c r="M222" s="51"/>
      <c r="N222" s="51"/>
      <c r="O222" s="51"/>
      <c r="P222" s="51"/>
      <c r="Q222" s="51"/>
      <c r="R222" s="51"/>
      <c r="S222" s="51"/>
      <c r="T222" s="51"/>
      <c r="U222" s="51"/>
      <c r="V222" s="51"/>
      <c r="W222" s="51"/>
      <c r="X222" s="51"/>
      <c r="Y222" s="51"/>
      <c r="Z222" s="51"/>
    </row>
    <row r="223" spans="1:26" ht="14.25" customHeight="1" x14ac:dyDescent="0.3">
      <c r="A223" s="84"/>
      <c r="B223" s="51"/>
      <c r="C223" s="51"/>
      <c r="D223" s="85"/>
      <c r="E223" s="51"/>
      <c r="F223" s="51"/>
      <c r="G223" s="51"/>
      <c r="H223" s="51"/>
      <c r="I223" s="51"/>
      <c r="J223" s="51"/>
      <c r="K223" s="51"/>
      <c r="L223" s="51"/>
      <c r="M223" s="51"/>
      <c r="N223" s="51"/>
      <c r="O223" s="51"/>
      <c r="P223" s="51"/>
      <c r="Q223" s="51"/>
      <c r="R223" s="51"/>
      <c r="S223" s="51"/>
      <c r="T223" s="51"/>
      <c r="U223" s="51"/>
      <c r="V223" s="51"/>
      <c r="W223" s="51"/>
      <c r="X223" s="51"/>
      <c r="Y223" s="51"/>
      <c r="Z223" s="51"/>
    </row>
    <row r="224" spans="1:26" ht="14.25" customHeight="1" x14ac:dyDescent="0.3">
      <c r="A224" s="84"/>
      <c r="B224" s="51"/>
      <c r="C224" s="51"/>
      <c r="D224" s="85"/>
      <c r="E224" s="51"/>
      <c r="F224" s="51"/>
      <c r="G224" s="51"/>
      <c r="H224" s="51"/>
      <c r="I224" s="51"/>
      <c r="J224" s="51"/>
      <c r="K224" s="51"/>
      <c r="L224" s="51"/>
      <c r="M224" s="51"/>
      <c r="N224" s="51"/>
      <c r="O224" s="51"/>
      <c r="P224" s="51"/>
      <c r="Q224" s="51"/>
      <c r="R224" s="51"/>
      <c r="S224" s="51"/>
      <c r="T224" s="51"/>
      <c r="U224" s="51"/>
      <c r="V224" s="51"/>
      <c r="W224" s="51"/>
      <c r="X224" s="51"/>
      <c r="Y224" s="51"/>
      <c r="Z224" s="51"/>
    </row>
    <row r="225" spans="1:26" ht="14.25" customHeight="1" x14ac:dyDescent="0.3">
      <c r="A225" s="84"/>
      <c r="B225" s="51"/>
      <c r="C225" s="51"/>
      <c r="D225" s="85"/>
      <c r="E225" s="51"/>
      <c r="F225" s="51"/>
      <c r="G225" s="51"/>
      <c r="H225" s="51"/>
      <c r="I225" s="51"/>
      <c r="J225" s="51"/>
      <c r="K225" s="51"/>
      <c r="L225" s="51"/>
      <c r="M225" s="51"/>
      <c r="N225" s="51"/>
      <c r="O225" s="51"/>
      <c r="P225" s="51"/>
      <c r="Q225" s="51"/>
      <c r="R225" s="51"/>
      <c r="S225" s="51"/>
      <c r="T225" s="51"/>
      <c r="U225" s="51"/>
      <c r="V225" s="51"/>
      <c r="W225" s="51"/>
      <c r="X225" s="51"/>
      <c r="Y225" s="51"/>
      <c r="Z225" s="51"/>
    </row>
    <row r="226" spans="1:26" ht="14.25" customHeight="1" x14ac:dyDescent="0.3">
      <c r="A226" s="84"/>
      <c r="B226" s="51"/>
      <c r="C226" s="51"/>
      <c r="D226" s="85"/>
      <c r="E226" s="51"/>
      <c r="F226" s="51"/>
      <c r="G226" s="51"/>
      <c r="H226" s="51"/>
      <c r="I226" s="51"/>
      <c r="J226" s="51"/>
      <c r="K226" s="51"/>
      <c r="L226" s="51"/>
      <c r="M226" s="51"/>
      <c r="N226" s="51"/>
      <c r="O226" s="51"/>
      <c r="P226" s="51"/>
      <c r="Q226" s="51"/>
      <c r="R226" s="51"/>
      <c r="S226" s="51"/>
      <c r="T226" s="51"/>
      <c r="U226" s="51"/>
      <c r="V226" s="51"/>
      <c r="W226" s="51"/>
      <c r="X226" s="51"/>
      <c r="Y226" s="51"/>
      <c r="Z226" s="51"/>
    </row>
    <row r="227" spans="1:26" ht="14.25" customHeight="1" x14ac:dyDescent="0.3">
      <c r="A227" s="84"/>
      <c r="B227" s="51"/>
      <c r="C227" s="51"/>
      <c r="D227" s="85"/>
      <c r="E227" s="51"/>
      <c r="F227" s="51"/>
      <c r="G227" s="51"/>
      <c r="H227" s="51"/>
      <c r="I227" s="51"/>
      <c r="J227" s="51"/>
      <c r="K227" s="51"/>
      <c r="L227" s="51"/>
      <c r="M227" s="51"/>
      <c r="N227" s="51"/>
      <c r="O227" s="51"/>
      <c r="P227" s="51"/>
      <c r="Q227" s="51"/>
      <c r="R227" s="51"/>
      <c r="S227" s="51"/>
      <c r="T227" s="51"/>
      <c r="U227" s="51"/>
      <c r="V227" s="51"/>
      <c r="W227" s="51"/>
      <c r="X227" s="51"/>
      <c r="Y227" s="51"/>
      <c r="Z227" s="51"/>
    </row>
    <row r="228" spans="1:26" ht="14.25" customHeight="1" x14ac:dyDescent="0.3">
      <c r="A228" s="84"/>
      <c r="B228" s="51"/>
      <c r="C228" s="51"/>
      <c r="D228" s="85"/>
      <c r="E228" s="51"/>
      <c r="F228" s="51"/>
      <c r="G228" s="51"/>
      <c r="H228" s="51"/>
      <c r="I228" s="51"/>
      <c r="J228" s="51"/>
      <c r="K228" s="51"/>
      <c r="L228" s="51"/>
      <c r="M228" s="51"/>
      <c r="N228" s="51"/>
      <c r="O228" s="51"/>
      <c r="P228" s="51"/>
      <c r="Q228" s="51"/>
      <c r="R228" s="51"/>
      <c r="S228" s="51"/>
      <c r="T228" s="51"/>
      <c r="U228" s="51"/>
      <c r="V228" s="51"/>
      <c r="W228" s="51"/>
      <c r="X228" s="51"/>
      <c r="Y228" s="51"/>
      <c r="Z228" s="51"/>
    </row>
    <row r="229" spans="1:26" ht="14.25" customHeight="1" x14ac:dyDescent="0.3">
      <c r="A229" s="84"/>
      <c r="B229" s="51"/>
      <c r="C229" s="51"/>
      <c r="D229" s="85"/>
      <c r="E229" s="51"/>
      <c r="F229" s="51"/>
      <c r="G229" s="51"/>
      <c r="H229" s="51"/>
      <c r="I229" s="51"/>
      <c r="J229" s="51"/>
      <c r="K229" s="51"/>
      <c r="L229" s="51"/>
      <c r="M229" s="51"/>
      <c r="N229" s="51"/>
      <c r="O229" s="51"/>
      <c r="P229" s="51"/>
      <c r="Q229" s="51"/>
      <c r="R229" s="51"/>
      <c r="S229" s="51"/>
      <c r="T229" s="51"/>
      <c r="U229" s="51"/>
      <c r="V229" s="51"/>
      <c r="W229" s="51"/>
      <c r="X229" s="51"/>
      <c r="Y229" s="51"/>
      <c r="Z229" s="51"/>
    </row>
    <row r="230" spans="1:26" ht="14.25" customHeight="1" x14ac:dyDescent="0.3">
      <c r="A230" s="84"/>
      <c r="B230" s="51"/>
      <c r="C230" s="51"/>
      <c r="D230" s="85"/>
      <c r="E230" s="51"/>
      <c r="F230" s="51"/>
      <c r="G230" s="51"/>
      <c r="H230" s="51"/>
      <c r="I230" s="51"/>
      <c r="J230" s="51"/>
      <c r="K230" s="51"/>
      <c r="L230" s="51"/>
      <c r="M230" s="51"/>
      <c r="N230" s="51"/>
      <c r="O230" s="51"/>
      <c r="P230" s="51"/>
      <c r="Q230" s="51"/>
      <c r="R230" s="51"/>
      <c r="S230" s="51"/>
      <c r="T230" s="51"/>
      <c r="U230" s="51"/>
      <c r="V230" s="51"/>
      <c r="W230" s="51"/>
      <c r="X230" s="51"/>
      <c r="Y230" s="51"/>
      <c r="Z230" s="51"/>
    </row>
    <row r="231" spans="1:26" ht="14.25" customHeight="1" x14ac:dyDescent="0.3">
      <c r="A231" s="84"/>
      <c r="B231" s="51"/>
      <c r="C231" s="51"/>
      <c r="D231" s="85"/>
      <c r="E231" s="51"/>
      <c r="F231" s="51"/>
      <c r="G231" s="51"/>
      <c r="H231" s="51"/>
      <c r="I231" s="51"/>
      <c r="J231" s="51"/>
      <c r="K231" s="51"/>
      <c r="L231" s="51"/>
      <c r="M231" s="51"/>
      <c r="N231" s="51"/>
      <c r="O231" s="51"/>
      <c r="P231" s="51"/>
      <c r="Q231" s="51"/>
      <c r="R231" s="51"/>
      <c r="S231" s="51"/>
      <c r="T231" s="51"/>
      <c r="U231" s="51"/>
      <c r="V231" s="51"/>
      <c r="W231" s="51"/>
      <c r="X231" s="51"/>
      <c r="Y231" s="51"/>
      <c r="Z231" s="51"/>
    </row>
    <row r="232" spans="1:26" ht="14.25" customHeight="1" x14ac:dyDescent="0.3">
      <c r="A232" s="84"/>
      <c r="B232" s="51"/>
      <c r="C232" s="51"/>
      <c r="D232" s="85"/>
      <c r="E232" s="51"/>
      <c r="F232" s="51"/>
      <c r="G232" s="51"/>
      <c r="H232" s="51"/>
      <c r="I232" s="51"/>
      <c r="J232" s="51"/>
      <c r="K232" s="51"/>
      <c r="L232" s="51"/>
      <c r="M232" s="51"/>
      <c r="N232" s="51"/>
      <c r="O232" s="51"/>
      <c r="P232" s="51"/>
      <c r="Q232" s="51"/>
      <c r="R232" s="51"/>
      <c r="S232" s="51"/>
      <c r="T232" s="51"/>
      <c r="U232" s="51"/>
      <c r="V232" s="51"/>
      <c r="W232" s="51"/>
      <c r="X232" s="51"/>
      <c r="Y232" s="51"/>
      <c r="Z232" s="51"/>
    </row>
    <row r="233" spans="1:26" ht="14.25" customHeight="1" x14ac:dyDescent="0.3">
      <c r="A233" s="84"/>
      <c r="B233" s="51"/>
      <c r="C233" s="51"/>
      <c r="D233" s="85"/>
      <c r="E233" s="51"/>
      <c r="F233" s="51"/>
      <c r="G233" s="51"/>
      <c r="H233" s="51"/>
      <c r="I233" s="51"/>
      <c r="J233" s="51"/>
      <c r="K233" s="51"/>
      <c r="L233" s="51"/>
      <c r="M233" s="51"/>
      <c r="N233" s="51"/>
      <c r="O233" s="51"/>
      <c r="P233" s="51"/>
      <c r="Q233" s="51"/>
      <c r="R233" s="51"/>
      <c r="S233" s="51"/>
      <c r="T233" s="51"/>
      <c r="U233" s="51"/>
      <c r="V233" s="51"/>
      <c r="W233" s="51"/>
      <c r="X233" s="51"/>
      <c r="Y233" s="51"/>
      <c r="Z233" s="51"/>
    </row>
    <row r="234" spans="1:26" ht="14.25" customHeight="1" x14ac:dyDescent="0.3">
      <c r="A234" s="84"/>
      <c r="B234" s="51"/>
      <c r="C234" s="51"/>
      <c r="D234" s="85"/>
      <c r="E234" s="51"/>
      <c r="F234" s="51"/>
      <c r="G234" s="51"/>
      <c r="H234" s="51"/>
      <c r="I234" s="51"/>
      <c r="J234" s="51"/>
      <c r="K234" s="51"/>
      <c r="L234" s="51"/>
      <c r="M234" s="51"/>
      <c r="N234" s="51"/>
      <c r="O234" s="51"/>
      <c r="P234" s="51"/>
      <c r="Q234" s="51"/>
      <c r="R234" s="51"/>
      <c r="S234" s="51"/>
      <c r="T234" s="51"/>
      <c r="U234" s="51"/>
      <c r="V234" s="51"/>
      <c r="W234" s="51"/>
      <c r="X234" s="51"/>
      <c r="Y234" s="51"/>
      <c r="Z234" s="51"/>
    </row>
    <row r="235" spans="1:26" ht="14.25" customHeight="1" x14ac:dyDescent="0.3">
      <c r="A235" s="84"/>
      <c r="B235" s="51"/>
      <c r="C235" s="51"/>
      <c r="D235" s="85"/>
      <c r="E235" s="51"/>
      <c r="F235" s="51"/>
      <c r="G235" s="51"/>
      <c r="H235" s="51"/>
      <c r="I235" s="51"/>
      <c r="J235" s="51"/>
      <c r="K235" s="51"/>
      <c r="L235" s="51"/>
      <c r="M235" s="51"/>
      <c r="N235" s="51"/>
      <c r="O235" s="51"/>
      <c r="P235" s="51"/>
      <c r="Q235" s="51"/>
      <c r="R235" s="51"/>
      <c r="S235" s="51"/>
      <c r="T235" s="51"/>
      <c r="U235" s="51"/>
      <c r="V235" s="51"/>
      <c r="W235" s="51"/>
      <c r="X235" s="51"/>
      <c r="Y235" s="51"/>
      <c r="Z235" s="51"/>
    </row>
    <row r="236" spans="1:26" ht="14.25" customHeight="1" x14ac:dyDescent="0.3">
      <c r="A236" s="84"/>
      <c r="B236" s="51"/>
      <c r="C236" s="51"/>
      <c r="D236" s="85"/>
      <c r="E236" s="51"/>
      <c r="F236" s="51"/>
      <c r="G236" s="51"/>
      <c r="H236" s="51"/>
      <c r="I236" s="51"/>
      <c r="J236" s="51"/>
      <c r="K236" s="51"/>
      <c r="L236" s="51"/>
      <c r="M236" s="51"/>
      <c r="N236" s="51"/>
      <c r="O236" s="51"/>
      <c r="P236" s="51"/>
      <c r="Q236" s="51"/>
      <c r="R236" s="51"/>
      <c r="S236" s="51"/>
      <c r="T236" s="51"/>
      <c r="U236" s="51"/>
      <c r="V236" s="51"/>
      <c r="W236" s="51"/>
      <c r="X236" s="51"/>
      <c r="Y236" s="51"/>
      <c r="Z236" s="51"/>
    </row>
    <row r="237" spans="1:26" ht="14.25" customHeight="1" x14ac:dyDescent="0.3">
      <c r="A237" s="84"/>
      <c r="B237" s="51"/>
      <c r="C237" s="51"/>
      <c r="D237" s="85"/>
      <c r="E237" s="51"/>
      <c r="F237" s="51"/>
      <c r="G237" s="51"/>
      <c r="H237" s="51"/>
      <c r="I237" s="51"/>
      <c r="J237" s="51"/>
      <c r="K237" s="51"/>
      <c r="L237" s="51"/>
      <c r="M237" s="51"/>
      <c r="N237" s="51"/>
      <c r="O237" s="51"/>
      <c r="P237" s="51"/>
      <c r="Q237" s="51"/>
      <c r="R237" s="51"/>
      <c r="S237" s="51"/>
      <c r="T237" s="51"/>
      <c r="U237" s="51"/>
      <c r="V237" s="51"/>
      <c r="W237" s="51"/>
      <c r="X237" s="51"/>
      <c r="Y237" s="51"/>
      <c r="Z237" s="51"/>
    </row>
    <row r="238" spans="1:26" ht="14.25" customHeight="1" x14ac:dyDescent="0.3">
      <c r="A238" s="84"/>
      <c r="B238" s="51"/>
      <c r="C238" s="51"/>
      <c r="D238" s="85"/>
      <c r="E238" s="51"/>
      <c r="F238" s="51"/>
      <c r="G238" s="51"/>
      <c r="H238" s="51"/>
      <c r="I238" s="51"/>
      <c r="J238" s="51"/>
      <c r="K238" s="51"/>
      <c r="L238" s="51"/>
      <c r="M238" s="51"/>
      <c r="N238" s="51"/>
      <c r="O238" s="51"/>
      <c r="P238" s="51"/>
      <c r="Q238" s="51"/>
      <c r="R238" s="51"/>
      <c r="S238" s="51"/>
      <c r="T238" s="51"/>
      <c r="U238" s="51"/>
      <c r="V238" s="51"/>
      <c r="W238" s="51"/>
      <c r="X238" s="51"/>
      <c r="Y238" s="51"/>
      <c r="Z238" s="51"/>
    </row>
    <row r="239" spans="1:26" ht="14.25" customHeight="1" x14ac:dyDescent="0.3">
      <c r="A239" s="84"/>
      <c r="B239" s="51"/>
      <c r="C239" s="51"/>
      <c r="D239" s="85"/>
      <c r="E239" s="51"/>
      <c r="F239" s="51"/>
      <c r="G239" s="51"/>
      <c r="H239" s="51"/>
      <c r="I239" s="51"/>
      <c r="J239" s="51"/>
      <c r="K239" s="51"/>
      <c r="L239" s="51"/>
      <c r="M239" s="51"/>
      <c r="N239" s="51"/>
      <c r="O239" s="51"/>
      <c r="P239" s="51"/>
      <c r="Q239" s="51"/>
      <c r="R239" s="51"/>
      <c r="S239" s="51"/>
      <c r="T239" s="51"/>
      <c r="U239" s="51"/>
      <c r="V239" s="51"/>
      <c r="W239" s="51"/>
      <c r="X239" s="51"/>
      <c r="Y239" s="51"/>
      <c r="Z239" s="51"/>
    </row>
    <row r="240" spans="1:26" ht="14.25" customHeight="1" x14ac:dyDescent="0.3">
      <c r="A240" s="84"/>
      <c r="B240" s="51"/>
      <c r="C240" s="51"/>
      <c r="D240" s="85"/>
      <c r="E240" s="51"/>
      <c r="F240" s="51"/>
      <c r="G240" s="51"/>
      <c r="H240" s="51"/>
      <c r="I240" s="51"/>
      <c r="J240" s="51"/>
      <c r="K240" s="51"/>
      <c r="L240" s="51"/>
      <c r="M240" s="51"/>
      <c r="N240" s="51"/>
      <c r="O240" s="51"/>
      <c r="P240" s="51"/>
      <c r="Q240" s="51"/>
      <c r="R240" s="51"/>
      <c r="S240" s="51"/>
      <c r="T240" s="51"/>
      <c r="U240" s="51"/>
      <c r="V240" s="51"/>
      <c r="W240" s="51"/>
      <c r="X240" s="51"/>
      <c r="Y240" s="51"/>
      <c r="Z240" s="51"/>
    </row>
    <row r="241" spans="1:26" ht="14.25" customHeight="1" x14ac:dyDescent="0.3">
      <c r="A241" s="84"/>
      <c r="B241" s="51"/>
      <c r="C241" s="51"/>
      <c r="D241" s="85"/>
      <c r="E241" s="51"/>
      <c r="F241" s="51"/>
      <c r="G241" s="51"/>
      <c r="H241" s="51"/>
      <c r="I241" s="51"/>
      <c r="J241" s="51"/>
      <c r="K241" s="51"/>
      <c r="L241" s="51"/>
      <c r="M241" s="51"/>
      <c r="N241" s="51"/>
      <c r="O241" s="51"/>
      <c r="P241" s="51"/>
      <c r="Q241" s="51"/>
      <c r="R241" s="51"/>
      <c r="S241" s="51"/>
      <c r="T241" s="51"/>
      <c r="U241" s="51"/>
      <c r="V241" s="51"/>
      <c r="W241" s="51"/>
      <c r="X241" s="51"/>
      <c r="Y241" s="51"/>
      <c r="Z241" s="51"/>
    </row>
    <row r="242" spans="1:26" ht="14.25" customHeight="1" x14ac:dyDescent="0.3">
      <c r="A242" s="84"/>
      <c r="B242" s="51"/>
      <c r="C242" s="51"/>
      <c r="D242" s="85"/>
      <c r="E242" s="51"/>
      <c r="F242" s="51"/>
      <c r="G242" s="51"/>
      <c r="H242" s="51"/>
      <c r="I242" s="51"/>
      <c r="J242" s="51"/>
      <c r="K242" s="51"/>
      <c r="L242" s="51"/>
      <c r="M242" s="51"/>
      <c r="N242" s="51"/>
      <c r="O242" s="51"/>
      <c r="P242" s="51"/>
      <c r="Q242" s="51"/>
      <c r="R242" s="51"/>
      <c r="S242" s="51"/>
      <c r="T242" s="51"/>
      <c r="U242" s="51"/>
      <c r="V242" s="51"/>
      <c r="W242" s="51"/>
      <c r="X242" s="51"/>
      <c r="Y242" s="51"/>
      <c r="Z242" s="51"/>
    </row>
    <row r="243" spans="1:26" ht="14.25" customHeight="1" x14ac:dyDescent="0.3">
      <c r="A243" s="84"/>
      <c r="B243" s="51"/>
      <c r="C243" s="51"/>
      <c r="D243" s="85"/>
      <c r="E243" s="51"/>
      <c r="F243" s="51"/>
      <c r="G243" s="51"/>
      <c r="H243" s="51"/>
      <c r="I243" s="51"/>
      <c r="J243" s="51"/>
      <c r="K243" s="51"/>
      <c r="L243" s="51"/>
      <c r="M243" s="51"/>
      <c r="N243" s="51"/>
      <c r="O243" s="51"/>
      <c r="P243" s="51"/>
      <c r="Q243" s="51"/>
      <c r="R243" s="51"/>
      <c r="S243" s="51"/>
      <c r="T243" s="51"/>
      <c r="U243" s="51"/>
      <c r="V243" s="51"/>
      <c r="W243" s="51"/>
      <c r="X243" s="51"/>
      <c r="Y243" s="51"/>
      <c r="Z243" s="51"/>
    </row>
    <row r="244" spans="1:26" ht="14.25" customHeight="1" x14ac:dyDescent="0.3">
      <c r="A244" s="84"/>
      <c r="B244" s="51"/>
      <c r="C244" s="51"/>
      <c r="D244" s="85"/>
      <c r="E244" s="51"/>
      <c r="F244" s="51"/>
      <c r="G244" s="51"/>
      <c r="H244" s="51"/>
      <c r="I244" s="51"/>
      <c r="J244" s="51"/>
      <c r="K244" s="51"/>
      <c r="L244" s="51"/>
      <c r="M244" s="51"/>
      <c r="N244" s="51"/>
      <c r="O244" s="51"/>
      <c r="P244" s="51"/>
      <c r="Q244" s="51"/>
      <c r="R244" s="51"/>
      <c r="S244" s="51"/>
      <c r="T244" s="51"/>
      <c r="U244" s="51"/>
      <c r="V244" s="51"/>
      <c r="W244" s="51"/>
      <c r="X244" s="51"/>
      <c r="Y244" s="51"/>
      <c r="Z244" s="51"/>
    </row>
    <row r="245" spans="1:26" ht="14.25" customHeight="1" x14ac:dyDescent="0.3">
      <c r="A245" s="84"/>
      <c r="B245" s="51"/>
      <c r="C245" s="51"/>
      <c r="D245" s="85"/>
      <c r="E245" s="51"/>
      <c r="F245" s="51"/>
      <c r="G245" s="51"/>
      <c r="H245" s="51"/>
      <c r="I245" s="51"/>
      <c r="J245" s="51"/>
      <c r="K245" s="51"/>
      <c r="L245" s="51"/>
      <c r="M245" s="51"/>
      <c r="N245" s="51"/>
      <c r="O245" s="51"/>
      <c r="P245" s="51"/>
      <c r="Q245" s="51"/>
      <c r="R245" s="51"/>
      <c r="S245" s="51"/>
      <c r="T245" s="51"/>
      <c r="U245" s="51"/>
      <c r="V245" s="51"/>
      <c r="W245" s="51"/>
      <c r="X245" s="51"/>
      <c r="Y245" s="51"/>
      <c r="Z245" s="51"/>
    </row>
    <row r="246" spans="1:26" ht="14.25" customHeight="1" x14ac:dyDescent="0.3">
      <c r="A246" s="84"/>
      <c r="B246" s="51"/>
      <c r="C246" s="51"/>
      <c r="D246" s="85"/>
      <c r="E246" s="51"/>
      <c r="F246" s="51"/>
      <c r="G246" s="51"/>
      <c r="H246" s="51"/>
      <c r="I246" s="51"/>
      <c r="J246" s="51"/>
      <c r="K246" s="51"/>
      <c r="L246" s="51"/>
      <c r="M246" s="51"/>
      <c r="N246" s="51"/>
      <c r="O246" s="51"/>
      <c r="P246" s="51"/>
      <c r="Q246" s="51"/>
      <c r="R246" s="51"/>
      <c r="S246" s="51"/>
      <c r="T246" s="51"/>
      <c r="U246" s="51"/>
      <c r="V246" s="51"/>
      <c r="W246" s="51"/>
      <c r="X246" s="51"/>
      <c r="Y246" s="51"/>
      <c r="Z246" s="51"/>
    </row>
    <row r="247" spans="1:26" ht="14.25" customHeight="1" x14ac:dyDescent="0.3">
      <c r="A247" s="84"/>
      <c r="B247" s="51"/>
      <c r="C247" s="51"/>
      <c r="D247" s="85"/>
      <c r="E247" s="51"/>
      <c r="F247" s="51"/>
      <c r="G247" s="51"/>
      <c r="H247" s="51"/>
      <c r="I247" s="51"/>
      <c r="J247" s="51"/>
      <c r="K247" s="51"/>
      <c r="L247" s="51"/>
      <c r="M247" s="51"/>
      <c r="N247" s="51"/>
      <c r="O247" s="51"/>
      <c r="P247" s="51"/>
      <c r="Q247" s="51"/>
      <c r="R247" s="51"/>
      <c r="S247" s="51"/>
      <c r="T247" s="51"/>
      <c r="U247" s="51"/>
      <c r="V247" s="51"/>
      <c r="W247" s="51"/>
      <c r="X247" s="51"/>
      <c r="Y247" s="51"/>
      <c r="Z247" s="51"/>
    </row>
    <row r="248" spans="1:26" ht="14.25" customHeight="1" x14ac:dyDescent="0.3">
      <c r="A248" s="84"/>
      <c r="B248" s="51"/>
      <c r="C248" s="51"/>
      <c r="D248" s="85"/>
      <c r="E248" s="51"/>
      <c r="F248" s="51"/>
      <c r="G248" s="51"/>
      <c r="H248" s="51"/>
      <c r="I248" s="51"/>
      <c r="J248" s="51"/>
      <c r="K248" s="51"/>
      <c r="L248" s="51"/>
      <c r="M248" s="51"/>
      <c r="N248" s="51"/>
      <c r="O248" s="51"/>
      <c r="P248" s="51"/>
      <c r="Q248" s="51"/>
      <c r="R248" s="51"/>
      <c r="S248" s="51"/>
      <c r="T248" s="51"/>
      <c r="U248" s="51"/>
      <c r="V248" s="51"/>
      <c r="W248" s="51"/>
      <c r="X248" s="51"/>
      <c r="Y248" s="51"/>
      <c r="Z248" s="51"/>
    </row>
    <row r="249" spans="1:26" ht="14.25" customHeight="1" x14ac:dyDescent="0.3">
      <c r="A249" s="84"/>
      <c r="B249" s="51"/>
      <c r="C249" s="51"/>
      <c r="D249" s="85"/>
      <c r="E249" s="51"/>
      <c r="F249" s="51"/>
      <c r="G249" s="51"/>
      <c r="H249" s="51"/>
      <c r="I249" s="51"/>
      <c r="J249" s="51"/>
      <c r="K249" s="51"/>
      <c r="L249" s="51"/>
      <c r="M249" s="51"/>
      <c r="N249" s="51"/>
      <c r="O249" s="51"/>
      <c r="P249" s="51"/>
      <c r="Q249" s="51"/>
      <c r="R249" s="51"/>
      <c r="S249" s="51"/>
      <c r="T249" s="51"/>
      <c r="U249" s="51"/>
      <c r="V249" s="51"/>
      <c r="W249" s="51"/>
      <c r="X249" s="51"/>
      <c r="Y249" s="51"/>
      <c r="Z249" s="51"/>
    </row>
    <row r="250" spans="1:26" ht="14.25" customHeight="1" x14ac:dyDescent="0.3">
      <c r="A250" s="84"/>
      <c r="B250" s="51"/>
      <c r="C250" s="51"/>
      <c r="D250" s="85"/>
      <c r="E250" s="51"/>
      <c r="F250" s="51"/>
      <c r="G250" s="51"/>
      <c r="H250" s="51"/>
      <c r="I250" s="51"/>
      <c r="J250" s="51"/>
      <c r="K250" s="51"/>
      <c r="L250" s="51"/>
      <c r="M250" s="51"/>
      <c r="N250" s="51"/>
      <c r="O250" s="51"/>
      <c r="P250" s="51"/>
      <c r="Q250" s="51"/>
      <c r="R250" s="51"/>
      <c r="S250" s="51"/>
      <c r="T250" s="51"/>
      <c r="U250" s="51"/>
      <c r="V250" s="51"/>
      <c r="W250" s="51"/>
      <c r="X250" s="51"/>
      <c r="Y250" s="51"/>
      <c r="Z250" s="51"/>
    </row>
    <row r="251" spans="1:26" ht="14.25" customHeight="1" x14ac:dyDescent="0.3">
      <c r="A251" s="84"/>
      <c r="B251" s="51"/>
      <c r="C251" s="51"/>
      <c r="D251" s="85"/>
      <c r="E251" s="51"/>
      <c r="F251" s="51"/>
      <c r="G251" s="51"/>
      <c r="H251" s="51"/>
      <c r="I251" s="51"/>
      <c r="J251" s="51"/>
      <c r="K251" s="51"/>
      <c r="L251" s="51"/>
      <c r="M251" s="51"/>
      <c r="N251" s="51"/>
      <c r="O251" s="51"/>
      <c r="P251" s="51"/>
      <c r="Q251" s="51"/>
      <c r="R251" s="51"/>
      <c r="S251" s="51"/>
      <c r="T251" s="51"/>
      <c r="U251" s="51"/>
      <c r="V251" s="51"/>
      <c r="W251" s="51"/>
      <c r="X251" s="51"/>
      <c r="Y251" s="51"/>
      <c r="Z251" s="51"/>
    </row>
    <row r="252" spans="1:26" ht="14.25" customHeight="1" x14ac:dyDescent="0.3">
      <c r="A252" s="84"/>
      <c r="B252" s="51"/>
      <c r="C252" s="51"/>
      <c r="D252" s="85"/>
      <c r="E252" s="51"/>
      <c r="F252" s="51"/>
      <c r="G252" s="51"/>
      <c r="H252" s="51"/>
      <c r="I252" s="51"/>
      <c r="J252" s="51"/>
      <c r="K252" s="51"/>
      <c r="L252" s="51"/>
      <c r="M252" s="51"/>
      <c r="N252" s="51"/>
      <c r="O252" s="51"/>
      <c r="P252" s="51"/>
      <c r="Q252" s="51"/>
      <c r="R252" s="51"/>
      <c r="S252" s="51"/>
      <c r="T252" s="51"/>
      <c r="U252" s="51"/>
      <c r="V252" s="51"/>
      <c r="W252" s="51"/>
      <c r="X252" s="51"/>
      <c r="Y252" s="51"/>
      <c r="Z252" s="51"/>
    </row>
    <row r="253" spans="1:26" ht="14.25" customHeight="1" x14ac:dyDescent="0.3">
      <c r="A253" s="84"/>
      <c r="B253" s="51"/>
      <c r="C253" s="51"/>
      <c r="D253" s="85"/>
      <c r="E253" s="51"/>
      <c r="F253" s="51"/>
      <c r="G253" s="51"/>
      <c r="H253" s="51"/>
      <c r="I253" s="51"/>
      <c r="J253" s="51"/>
      <c r="K253" s="51"/>
      <c r="L253" s="51"/>
      <c r="M253" s="51"/>
      <c r="N253" s="51"/>
      <c r="O253" s="51"/>
      <c r="P253" s="51"/>
      <c r="Q253" s="51"/>
      <c r="R253" s="51"/>
      <c r="S253" s="51"/>
      <c r="T253" s="51"/>
      <c r="U253" s="51"/>
      <c r="V253" s="51"/>
      <c r="W253" s="51"/>
      <c r="X253" s="51"/>
      <c r="Y253" s="51"/>
      <c r="Z253" s="51"/>
    </row>
    <row r="254" spans="1:26" ht="14.25" customHeight="1" x14ac:dyDescent="0.3">
      <c r="A254" s="84"/>
      <c r="B254" s="51"/>
      <c r="C254" s="51"/>
      <c r="D254" s="85"/>
      <c r="E254" s="51"/>
      <c r="F254" s="51"/>
      <c r="G254" s="51"/>
      <c r="H254" s="51"/>
      <c r="I254" s="51"/>
      <c r="J254" s="51"/>
      <c r="K254" s="51"/>
      <c r="L254" s="51"/>
      <c r="M254" s="51"/>
      <c r="N254" s="51"/>
      <c r="O254" s="51"/>
      <c r="P254" s="51"/>
      <c r="Q254" s="51"/>
      <c r="R254" s="51"/>
      <c r="S254" s="51"/>
      <c r="T254" s="51"/>
      <c r="U254" s="51"/>
      <c r="V254" s="51"/>
      <c r="W254" s="51"/>
      <c r="X254" s="51"/>
      <c r="Y254" s="51"/>
      <c r="Z254" s="51"/>
    </row>
    <row r="255" spans="1:26" ht="14.25" customHeight="1" x14ac:dyDescent="0.3">
      <c r="A255" s="84"/>
      <c r="B255" s="51"/>
      <c r="C255" s="51"/>
      <c r="D255" s="85"/>
      <c r="E255" s="51"/>
      <c r="F255" s="51"/>
      <c r="G255" s="51"/>
      <c r="H255" s="51"/>
      <c r="I255" s="51"/>
      <c r="J255" s="51"/>
      <c r="K255" s="51"/>
      <c r="L255" s="51"/>
      <c r="M255" s="51"/>
      <c r="N255" s="51"/>
      <c r="O255" s="51"/>
      <c r="P255" s="51"/>
      <c r="Q255" s="51"/>
      <c r="R255" s="51"/>
      <c r="S255" s="51"/>
      <c r="T255" s="51"/>
      <c r="U255" s="51"/>
      <c r="V255" s="51"/>
      <c r="W255" s="51"/>
      <c r="X255" s="51"/>
      <c r="Y255" s="51"/>
      <c r="Z255" s="51"/>
    </row>
    <row r="256" spans="1:26" ht="14.25" customHeight="1" x14ac:dyDescent="0.3">
      <c r="A256" s="84"/>
      <c r="B256" s="51"/>
      <c r="C256" s="51"/>
      <c r="D256" s="85"/>
      <c r="E256" s="51"/>
      <c r="F256" s="51"/>
      <c r="G256" s="51"/>
      <c r="H256" s="51"/>
      <c r="I256" s="51"/>
      <c r="J256" s="51"/>
      <c r="K256" s="51"/>
      <c r="L256" s="51"/>
      <c r="M256" s="51"/>
      <c r="N256" s="51"/>
      <c r="O256" s="51"/>
      <c r="P256" s="51"/>
      <c r="Q256" s="51"/>
      <c r="R256" s="51"/>
      <c r="S256" s="51"/>
      <c r="T256" s="51"/>
      <c r="U256" s="51"/>
      <c r="V256" s="51"/>
      <c r="W256" s="51"/>
      <c r="X256" s="51"/>
      <c r="Y256" s="51"/>
      <c r="Z256" s="51"/>
    </row>
    <row r="257" spans="1:26" ht="14.25" customHeight="1" x14ac:dyDescent="0.3">
      <c r="A257" s="84"/>
      <c r="B257" s="51"/>
      <c r="C257" s="51"/>
      <c r="D257" s="85"/>
      <c r="E257" s="51"/>
      <c r="F257" s="51"/>
      <c r="G257" s="51"/>
      <c r="H257" s="51"/>
      <c r="I257" s="51"/>
      <c r="J257" s="51"/>
      <c r="K257" s="51"/>
      <c r="L257" s="51"/>
      <c r="M257" s="51"/>
      <c r="N257" s="51"/>
      <c r="O257" s="51"/>
      <c r="P257" s="51"/>
      <c r="Q257" s="51"/>
      <c r="R257" s="51"/>
      <c r="S257" s="51"/>
      <c r="T257" s="51"/>
      <c r="U257" s="51"/>
      <c r="V257" s="51"/>
      <c r="W257" s="51"/>
      <c r="X257" s="51"/>
      <c r="Y257" s="51"/>
      <c r="Z257" s="51"/>
    </row>
    <row r="258" spans="1:26" ht="14.25" customHeight="1" x14ac:dyDescent="0.3">
      <c r="A258" s="84"/>
      <c r="B258" s="51"/>
      <c r="C258" s="51"/>
      <c r="D258" s="85"/>
      <c r="E258" s="51"/>
      <c r="F258" s="51"/>
      <c r="G258" s="51"/>
      <c r="H258" s="51"/>
      <c r="I258" s="51"/>
      <c r="J258" s="51"/>
      <c r="K258" s="51"/>
      <c r="L258" s="51"/>
      <c r="M258" s="51"/>
      <c r="N258" s="51"/>
      <c r="O258" s="51"/>
      <c r="P258" s="51"/>
      <c r="Q258" s="51"/>
      <c r="R258" s="51"/>
      <c r="S258" s="51"/>
      <c r="T258" s="51"/>
      <c r="U258" s="51"/>
      <c r="V258" s="51"/>
      <c r="W258" s="51"/>
      <c r="X258" s="51"/>
      <c r="Y258" s="51"/>
      <c r="Z258" s="51"/>
    </row>
  </sheetData>
  <mergeCells count="55">
    <mergeCell ref="A1:I1"/>
    <mergeCell ref="H2:I2"/>
    <mergeCell ref="A3:B4"/>
    <mergeCell ref="F3:I3"/>
    <mergeCell ref="F4:I4"/>
    <mergeCell ref="B17:D17"/>
    <mergeCell ref="B12:I12"/>
    <mergeCell ref="B13:I13"/>
    <mergeCell ref="B14:I14"/>
    <mergeCell ref="A5:I5"/>
    <mergeCell ref="B7:I7"/>
    <mergeCell ref="B8:I8"/>
    <mergeCell ref="B9:I9"/>
    <mergeCell ref="B10:I10"/>
    <mergeCell ref="B11:I11"/>
    <mergeCell ref="B29:D29"/>
    <mergeCell ref="B18:D18"/>
    <mergeCell ref="B19:D19"/>
    <mergeCell ref="B20:D20"/>
    <mergeCell ref="B21:D21"/>
    <mergeCell ref="B22:D22"/>
    <mergeCell ref="B23:D23"/>
    <mergeCell ref="B24:D24"/>
    <mergeCell ref="B25:D25"/>
    <mergeCell ref="B26:D26"/>
    <mergeCell ref="B57:I57"/>
    <mergeCell ref="D58:I58"/>
    <mergeCell ref="A6:I6"/>
    <mergeCell ref="B15:D15"/>
    <mergeCell ref="B16:D16"/>
    <mergeCell ref="A48:I48"/>
    <mergeCell ref="B27:D27"/>
    <mergeCell ref="B28:D28"/>
    <mergeCell ref="A36:F36"/>
    <mergeCell ref="B37:I37"/>
    <mergeCell ref="B38:C38"/>
    <mergeCell ref="B39:C39"/>
    <mergeCell ref="B41:C41"/>
    <mergeCell ref="B30:D30"/>
    <mergeCell ref="B31:D31"/>
    <mergeCell ref="B32:D32"/>
    <mergeCell ref="B55:I55"/>
    <mergeCell ref="B56:I56"/>
    <mergeCell ref="B40:C40"/>
    <mergeCell ref="B42:C42"/>
    <mergeCell ref="B33:D33"/>
    <mergeCell ref="B34:D34"/>
    <mergeCell ref="B35:D35"/>
    <mergeCell ref="F52:I52"/>
    <mergeCell ref="F49:I49"/>
    <mergeCell ref="B43:C43"/>
    <mergeCell ref="B44:C44"/>
    <mergeCell ref="A45:F45"/>
    <mergeCell ref="A46:F46"/>
    <mergeCell ref="F53:I53"/>
  </mergeCells>
  <printOptions horizontalCentered="1"/>
  <pageMargins left="0.19685039370078741" right="0.19685039370078741" top="0.19685039370078741" bottom="0.19685039370078741" header="0" footer="0"/>
  <pageSetup paperSize="9" scale="95"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S266"/>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4.33203125" defaultRowHeight="15" customHeight="1" x14ac:dyDescent="0.3"/>
  <cols>
    <col min="1" max="1" width="4.88671875" customWidth="1"/>
    <col min="2" max="2" width="58.109375" customWidth="1"/>
    <col min="3" max="3" width="16.109375" customWidth="1"/>
    <col min="4" max="5" width="10.109375" customWidth="1"/>
    <col min="6" max="8" width="23.109375" customWidth="1"/>
    <col min="9" max="9" width="14.88671875" customWidth="1"/>
    <col min="10" max="10" width="10.33203125" customWidth="1"/>
    <col min="11" max="19" width="11.77734375" customWidth="1"/>
  </cols>
  <sheetData>
    <row r="1" spans="1:19" ht="88.5" customHeight="1" x14ac:dyDescent="0.3">
      <c r="A1" s="206" t="s">
        <v>264</v>
      </c>
      <c r="B1" s="194"/>
      <c r="C1" s="194"/>
      <c r="D1" s="194"/>
      <c r="E1" s="194"/>
      <c r="F1" s="194"/>
      <c r="G1" s="194"/>
      <c r="H1" s="194"/>
      <c r="I1" s="194"/>
      <c r="J1" s="194"/>
      <c r="K1" s="11"/>
      <c r="L1" s="11"/>
      <c r="M1" s="11"/>
      <c r="N1" s="11"/>
      <c r="O1" s="11"/>
      <c r="P1" s="11"/>
      <c r="Q1" s="11"/>
      <c r="R1" s="11"/>
      <c r="S1" s="11"/>
    </row>
    <row r="2" spans="1:19" ht="60" customHeight="1" x14ac:dyDescent="0.3">
      <c r="A2" s="12" t="s">
        <v>1</v>
      </c>
      <c r="B2" s="13" t="s">
        <v>2</v>
      </c>
      <c r="C2" s="14" t="s">
        <v>6</v>
      </c>
      <c r="D2" s="13" t="s">
        <v>7</v>
      </c>
      <c r="E2" s="13" t="s">
        <v>265</v>
      </c>
      <c r="F2" s="16" t="s">
        <v>25</v>
      </c>
      <c r="G2" s="16" t="s">
        <v>266</v>
      </c>
      <c r="H2" s="16" t="s">
        <v>267</v>
      </c>
      <c r="I2" s="16" t="s">
        <v>27</v>
      </c>
      <c r="J2" s="16" t="s">
        <v>196</v>
      </c>
      <c r="K2" s="11"/>
      <c r="L2" s="11"/>
      <c r="M2" s="11"/>
      <c r="N2" s="11"/>
      <c r="O2" s="11"/>
      <c r="P2" s="11"/>
      <c r="Q2" s="11"/>
      <c r="R2" s="11"/>
      <c r="S2" s="11"/>
    </row>
    <row r="3" spans="1:19" ht="218.4" x14ac:dyDescent="0.3">
      <c r="A3" s="17">
        <v>1</v>
      </c>
      <c r="B3" s="17">
        <v>2</v>
      </c>
      <c r="C3" s="17" t="s">
        <v>268</v>
      </c>
      <c r="D3" s="17" t="s">
        <v>269</v>
      </c>
      <c r="E3" s="17" t="s">
        <v>270</v>
      </c>
      <c r="F3" s="17" t="s">
        <v>271</v>
      </c>
      <c r="G3" s="17" t="s">
        <v>272</v>
      </c>
      <c r="H3" s="17" t="s">
        <v>273</v>
      </c>
      <c r="I3" s="17" t="s">
        <v>274</v>
      </c>
      <c r="J3" s="17" t="s">
        <v>275</v>
      </c>
      <c r="K3" s="18"/>
      <c r="L3" s="18"/>
      <c r="M3" s="18"/>
      <c r="N3" s="18"/>
      <c r="O3" s="18"/>
      <c r="P3" s="18"/>
      <c r="Q3" s="18"/>
      <c r="R3" s="18"/>
      <c r="S3" s="18"/>
    </row>
    <row r="4" spans="1:19" ht="20.25" customHeight="1" x14ac:dyDescent="0.3">
      <c r="A4" s="12" t="s">
        <v>10</v>
      </c>
      <c r="B4" s="19" t="s">
        <v>11</v>
      </c>
      <c r="C4" s="19"/>
      <c r="D4" s="19"/>
      <c r="E4" s="19"/>
      <c r="F4" s="19"/>
      <c r="G4" s="19"/>
      <c r="H4" s="19"/>
      <c r="I4" s="19"/>
      <c r="J4" s="19"/>
      <c r="K4" s="11"/>
      <c r="L4" s="11"/>
      <c r="M4" s="11"/>
      <c r="N4" s="11"/>
      <c r="O4" s="11"/>
      <c r="P4" s="11"/>
      <c r="Q4" s="11"/>
      <c r="R4" s="11"/>
      <c r="S4" s="11"/>
    </row>
    <row r="5" spans="1:19" ht="84" x14ac:dyDescent="0.3">
      <c r="A5" s="3">
        <v>2</v>
      </c>
      <c r="B5" s="4" t="s">
        <v>276</v>
      </c>
      <c r="C5" s="3" t="e">
        <f>#REF!</f>
        <v>#REF!</v>
      </c>
      <c r="D5" s="6" t="e">
        <f>#REF!</f>
        <v>#REF!</v>
      </c>
      <c r="E5" s="6">
        <v>1</v>
      </c>
      <c r="F5" s="21">
        <v>1</v>
      </c>
      <c r="G5" s="21">
        <v>1</v>
      </c>
      <c r="H5" s="21">
        <f>AVERAGE(E5:G5)</f>
        <v>1</v>
      </c>
      <c r="I5" s="22" t="e">
        <f>C5*(10%*E5+20%*F5+60%*G5+10%*H5)</f>
        <v>#REF!</v>
      </c>
      <c r="J5" s="22" t="e">
        <f>D5*I5</f>
        <v>#REF!</v>
      </c>
      <c r="K5" s="11"/>
      <c r="L5" s="11"/>
      <c r="M5" s="11"/>
      <c r="N5" s="11"/>
      <c r="O5" s="11"/>
      <c r="P5" s="11"/>
      <c r="Q5" s="11"/>
      <c r="R5" s="11"/>
      <c r="S5" s="11"/>
    </row>
    <row r="6" spans="1:19" ht="16.8" x14ac:dyDescent="0.3">
      <c r="A6" s="3"/>
      <c r="B6" s="23" t="s">
        <v>37</v>
      </c>
      <c r="C6" s="24" t="e">
        <f>SUM(C5)</f>
        <v>#REF!</v>
      </c>
      <c r="D6" s="25"/>
      <c r="E6" s="25"/>
      <c r="F6" s="26"/>
      <c r="G6" s="202" t="s">
        <v>38</v>
      </c>
      <c r="H6" s="199"/>
      <c r="I6" s="200"/>
      <c r="J6" s="24" t="e">
        <f>MIN(SUM(J5),C6)</f>
        <v>#REF!</v>
      </c>
      <c r="K6" s="11"/>
      <c r="L6" s="11"/>
      <c r="M6" s="11"/>
      <c r="N6" s="11"/>
      <c r="O6" s="11"/>
      <c r="P6" s="11"/>
      <c r="Q6" s="11"/>
      <c r="R6" s="11"/>
      <c r="S6" s="11"/>
    </row>
    <row r="7" spans="1:19" ht="38.25" customHeight="1" x14ac:dyDescent="0.3">
      <c r="A7" s="3"/>
      <c r="B7" s="27" t="s">
        <v>277</v>
      </c>
      <c r="C7" s="28" t="e">
        <f>J6/C6</f>
        <v>#REF!</v>
      </c>
      <c r="D7" s="198" t="s">
        <v>40</v>
      </c>
      <c r="E7" s="199"/>
      <c r="F7" s="199"/>
      <c r="G7" s="199"/>
      <c r="H7" s="199"/>
      <c r="I7" s="199"/>
      <c r="J7" s="200"/>
      <c r="K7" s="11"/>
      <c r="L7" s="11"/>
      <c r="M7" s="11"/>
      <c r="N7" s="11"/>
      <c r="O7" s="11"/>
      <c r="P7" s="11"/>
      <c r="Q7" s="11"/>
      <c r="R7" s="11"/>
      <c r="S7" s="11"/>
    </row>
    <row r="8" spans="1:19" ht="24" customHeight="1" x14ac:dyDescent="0.3">
      <c r="A8" s="2" t="s">
        <v>12</v>
      </c>
      <c r="B8" s="29" t="s">
        <v>13</v>
      </c>
      <c r="C8" s="30"/>
      <c r="D8" s="30"/>
      <c r="E8" s="30"/>
      <c r="F8" s="30"/>
      <c r="G8" s="30"/>
      <c r="H8" s="30"/>
      <c r="I8" s="30"/>
      <c r="J8" s="30"/>
      <c r="K8" s="11"/>
      <c r="L8" s="11"/>
      <c r="M8" s="11"/>
      <c r="N8" s="11"/>
      <c r="O8" s="11"/>
      <c r="P8" s="11"/>
      <c r="Q8" s="11"/>
      <c r="R8" s="11"/>
      <c r="S8" s="11"/>
    </row>
    <row r="9" spans="1:19" ht="16.8" x14ac:dyDescent="0.3">
      <c r="A9" s="3"/>
      <c r="B9" s="87"/>
      <c r="C9" s="3"/>
      <c r="D9" s="5"/>
      <c r="E9" s="5"/>
      <c r="F9" s="3"/>
      <c r="G9" s="31"/>
      <c r="H9" s="31"/>
      <c r="I9" s="31"/>
      <c r="J9" s="31"/>
      <c r="K9" s="11"/>
      <c r="L9" s="11"/>
      <c r="M9" s="11"/>
      <c r="N9" s="11"/>
      <c r="O9" s="11"/>
      <c r="P9" s="11"/>
      <c r="Q9" s="11"/>
      <c r="R9" s="11"/>
      <c r="S9" s="11"/>
    </row>
    <row r="10" spans="1:19" ht="16.8" x14ac:dyDescent="0.3">
      <c r="A10" s="3"/>
      <c r="B10" s="23" t="s">
        <v>41</v>
      </c>
      <c r="C10" s="9">
        <f>SUM(C9)</f>
        <v>0</v>
      </c>
      <c r="D10" s="6"/>
      <c r="E10" s="6"/>
      <c r="F10" s="21"/>
      <c r="G10" s="202" t="s">
        <v>42</v>
      </c>
      <c r="H10" s="199"/>
      <c r="I10" s="200"/>
      <c r="J10" s="9">
        <f>MIN(SUM(J9),C10)</f>
        <v>0</v>
      </c>
      <c r="K10" s="11"/>
      <c r="L10" s="11"/>
      <c r="M10" s="11"/>
      <c r="N10" s="11"/>
      <c r="O10" s="11"/>
      <c r="P10" s="11"/>
      <c r="Q10" s="11"/>
      <c r="R10" s="11"/>
      <c r="S10" s="11"/>
    </row>
    <row r="11" spans="1:19" ht="38.25" customHeight="1" x14ac:dyDescent="0.3">
      <c r="A11" s="3"/>
      <c r="B11" s="27" t="s">
        <v>278</v>
      </c>
      <c r="C11" s="28">
        <f>IF(C9=0,1,J9/C9)</f>
        <v>1</v>
      </c>
      <c r="D11" s="198" t="s">
        <v>44</v>
      </c>
      <c r="E11" s="199"/>
      <c r="F11" s="199"/>
      <c r="G11" s="199"/>
      <c r="H11" s="199"/>
      <c r="I11" s="199"/>
      <c r="J11" s="200"/>
      <c r="K11" s="11"/>
      <c r="L11" s="11"/>
      <c r="M11" s="11"/>
      <c r="N11" s="11"/>
      <c r="O11" s="11"/>
      <c r="P11" s="11"/>
      <c r="Q11" s="11"/>
      <c r="R11" s="11"/>
      <c r="S11" s="11"/>
    </row>
    <row r="12" spans="1:19" ht="16.8" x14ac:dyDescent="0.3">
      <c r="A12" s="3"/>
      <c r="B12" s="4"/>
      <c r="C12" s="3"/>
      <c r="D12" s="5"/>
      <c r="E12" s="5"/>
      <c r="F12" s="3"/>
      <c r="G12" s="31"/>
      <c r="H12" s="31"/>
      <c r="I12" s="31"/>
      <c r="J12" s="31"/>
      <c r="K12" s="11"/>
      <c r="L12" s="11"/>
      <c r="M12" s="11"/>
      <c r="N12" s="11"/>
      <c r="O12" s="11"/>
      <c r="P12" s="11"/>
      <c r="Q12" s="11"/>
      <c r="R12" s="11"/>
      <c r="S12" s="11"/>
    </row>
    <row r="13" spans="1:19" ht="26.25" customHeight="1" x14ac:dyDescent="0.3">
      <c r="A13" s="2" t="s">
        <v>14</v>
      </c>
      <c r="B13" s="29" t="s">
        <v>15</v>
      </c>
      <c r="C13" s="30"/>
      <c r="D13" s="30"/>
      <c r="E13" s="30"/>
      <c r="F13" s="30"/>
      <c r="G13" s="30"/>
      <c r="H13" s="30"/>
      <c r="I13" s="30"/>
      <c r="J13" s="30"/>
      <c r="K13" s="11"/>
      <c r="L13" s="11"/>
      <c r="M13" s="11"/>
      <c r="N13" s="11"/>
      <c r="O13" s="11"/>
      <c r="P13" s="11"/>
      <c r="Q13" s="11"/>
      <c r="R13" s="11"/>
      <c r="S13" s="11"/>
    </row>
    <row r="14" spans="1:19" ht="100.8" x14ac:dyDescent="0.3">
      <c r="A14" s="3">
        <v>8</v>
      </c>
      <c r="B14" s="87" t="s">
        <v>279</v>
      </c>
      <c r="C14" s="3" t="e">
        <f>#REF!</f>
        <v>#REF!</v>
      </c>
      <c r="D14" s="21" t="e">
        <f>#REF!</f>
        <v>#REF!</v>
      </c>
      <c r="E14" s="21">
        <v>1</v>
      </c>
      <c r="F14" s="21">
        <v>1</v>
      </c>
      <c r="G14" s="21">
        <v>0.8</v>
      </c>
      <c r="H14" s="21">
        <f>AVERAGE(E14:G14)</f>
        <v>0.93333333333333324</v>
      </c>
      <c r="I14" s="22" t="e">
        <f>C14*(30%*F14+70%*G14)</f>
        <v>#REF!</v>
      </c>
      <c r="J14" s="22" t="e">
        <f>D14*I14</f>
        <v>#REF!</v>
      </c>
      <c r="K14" s="11"/>
      <c r="L14" s="11"/>
      <c r="M14" s="11"/>
      <c r="N14" s="11"/>
      <c r="O14" s="11"/>
      <c r="P14" s="11"/>
      <c r="Q14" s="11"/>
      <c r="R14" s="11"/>
      <c r="S14" s="11"/>
    </row>
    <row r="15" spans="1:19" ht="16.8" x14ac:dyDescent="0.3">
      <c r="A15" s="3"/>
      <c r="B15" s="23" t="s">
        <v>46</v>
      </c>
      <c r="C15" s="9" t="e">
        <f>SUM(C14)</f>
        <v>#REF!</v>
      </c>
      <c r="D15" s="6"/>
      <c r="E15" s="6"/>
      <c r="F15" s="21"/>
      <c r="G15" s="202" t="s">
        <v>47</v>
      </c>
      <c r="H15" s="199"/>
      <c r="I15" s="200"/>
      <c r="J15" s="9" t="e">
        <f>MIN(SUM(J14),C15)</f>
        <v>#REF!</v>
      </c>
      <c r="K15" s="11"/>
      <c r="L15" s="11"/>
      <c r="M15" s="11"/>
      <c r="N15" s="11"/>
      <c r="O15" s="11"/>
      <c r="P15" s="11"/>
      <c r="Q15" s="11"/>
      <c r="R15" s="11"/>
      <c r="S15" s="11"/>
    </row>
    <row r="16" spans="1:19" ht="38.25" customHeight="1" x14ac:dyDescent="0.3">
      <c r="A16" s="3"/>
      <c r="B16" s="27" t="s">
        <v>280</v>
      </c>
      <c r="C16" s="28" t="e">
        <f>IF(C14=0,1,J14/C14)</f>
        <v>#REF!</v>
      </c>
      <c r="D16" s="198" t="s">
        <v>49</v>
      </c>
      <c r="E16" s="199"/>
      <c r="F16" s="199"/>
      <c r="G16" s="199"/>
      <c r="H16" s="199"/>
      <c r="I16" s="199"/>
      <c r="J16" s="200"/>
      <c r="K16" s="11"/>
      <c r="L16" s="11"/>
      <c r="M16" s="11"/>
      <c r="N16" s="11"/>
      <c r="O16" s="11"/>
      <c r="P16" s="11"/>
      <c r="Q16" s="11"/>
      <c r="R16" s="11"/>
      <c r="S16" s="11"/>
    </row>
    <row r="17" spans="1:19" ht="35.25" customHeight="1" x14ac:dyDescent="0.3">
      <c r="A17" s="2" t="s">
        <v>16</v>
      </c>
      <c r="B17" s="201" t="s">
        <v>50</v>
      </c>
      <c r="C17" s="199"/>
      <c r="D17" s="199"/>
      <c r="E17" s="199"/>
      <c r="F17" s="199"/>
      <c r="G17" s="199"/>
      <c r="H17" s="199"/>
      <c r="I17" s="199"/>
      <c r="J17" s="200"/>
      <c r="K17" s="11"/>
      <c r="L17" s="11"/>
      <c r="M17" s="11"/>
      <c r="N17" s="11"/>
      <c r="O17" s="11"/>
      <c r="P17" s="11"/>
      <c r="Q17" s="11"/>
      <c r="R17" s="11"/>
      <c r="S17" s="11"/>
    </row>
    <row r="18" spans="1:19" ht="67.2" x14ac:dyDescent="0.3">
      <c r="A18" s="3">
        <v>2</v>
      </c>
      <c r="B18" s="88" t="s">
        <v>281</v>
      </c>
      <c r="C18" s="31" t="e">
        <f>#REF!</f>
        <v>#REF!</v>
      </c>
      <c r="D18" s="21" t="e">
        <f>#REF!</f>
        <v>#REF!</v>
      </c>
      <c r="E18" s="21">
        <v>1</v>
      </c>
      <c r="F18" s="21">
        <v>0</v>
      </c>
      <c r="G18" s="21">
        <v>0.8</v>
      </c>
      <c r="H18" s="21">
        <f t="shared" ref="H18:H52" si="0">AVERAGE(E18:G18)</f>
        <v>0.6</v>
      </c>
      <c r="I18" s="22" t="e">
        <f t="shared" ref="I18:I30" si="1">C18*(30%*F18+70%*G18)</f>
        <v>#REF!</v>
      </c>
      <c r="J18" s="22" t="e">
        <f t="shared" ref="J18:J52" si="2">D18*I18</f>
        <v>#REF!</v>
      </c>
      <c r="K18" s="11"/>
      <c r="L18" s="11"/>
      <c r="M18" s="11"/>
      <c r="N18" s="11"/>
      <c r="O18" s="11"/>
      <c r="P18" s="11"/>
      <c r="Q18" s="11"/>
      <c r="R18" s="11"/>
      <c r="S18" s="11"/>
    </row>
    <row r="19" spans="1:19" ht="84" x14ac:dyDescent="0.3">
      <c r="A19" s="3">
        <v>7</v>
      </c>
      <c r="B19" s="4" t="s">
        <v>282</v>
      </c>
      <c r="C19" s="31" t="e">
        <f>#REF!</f>
        <v>#REF!</v>
      </c>
      <c r="D19" s="21" t="e">
        <f>#REF!</f>
        <v>#REF!</v>
      </c>
      <c r="E19" s="21">
        <v>1</v>
      </c>
      <c r="F19" s="21">
        <v>0</v>
      </c>
      <c r="G19" s="21">
        <v>1</v>
      </c>
      <c r="H19" s="21">
        <f t="shared" si="0"/>
        <v>0.66666666666666663</v>
      </c>
      <c r="I19" s="22" t="e">
        <f t="shared" si="1"/>
        <v>#REF!</v>
      </c>
      <c r="J19" s="22" t="e">
        <f t="shared" si="2"/>
        <v>#REF!</v>
      </c>
      <c r="K19" s="11"/>
      <c r="L19" s="11"/>
      <c r="M19" s="11"/>
      <c r="N19" s="11"/>
      <c r="O19" s="11"/>
      <c r="P19" s="11"/>
      <c r="Q19" s="11"/>
      <c r="R19" s="11"/>
      <c r="S19" s="11"/>
    </row>
    <row r="20" spans="1:19" ht="134.4" x14ac:dyDescent="0.3">
      <c r="A20" s="3">
        <v>13</v>
      </c>
      <c r="B20" s="87" t="s">
        <v>283</v>
      </c>
      <c r="C20" s="31" t="e">
        <f>#REF!</f>
        <v>#REF!</v>
      </c>
      <c r="D20" s="21" t="e">
        <f>#REF!</f>
        <v>#REF!</v>
      </c>
      <c r="E20" s="21">
        <v>1</v>
      </c>
      <c r="F20" s="21">
        <v>1</v>
      </c>
      <c r="G20" s="21">
        <v>1</v>
      </c>
      <c r="H20" s="21">
        <f t="shared" si="0"/>
        <v>1</v>
      </c>
      <c r="I20" s="22" t="e">
        <f t="shared" si="1"/>
        <v>#REF!</v>
      </c>
      <c r="J20" s="22" t="e">
        <f t="shared" si="2"/>
        <v>#REF!</v>
      </c>
      <c r="K20" s="11"/>
      <c r="L20" s="11"/>
      <c r="M20" s="11"/>
      <c r="N20" s="11"/>
      <c r="O20" s="11"/>
      <c r="P20" s="11"/>
      <c r="Q20" s="11"/>
      <c r="R20" s="11"/>
      <c r="S20" s="11"/>
    </row>
    <row r="21" spans="1:19" ht="15.75" customHeight="1" x14ac:dyDescent="0.3">
      <c r="A21" s="3">
        <v>14</v>
      </c>
      <c r="B21" s="4" t="s">
        <v>284</v>
      </c>
      <c r="C21" s="31" t="e">
        <f>#REF!</f>
        <v>#REF!</v>
      </c>
      <c r="D21" s="21" t="e">
        <f>#REF!</f>
        <v>#REF!</v>
      </c>
      <c r="E21" s="21">
        <v>1</v>
      </c>
      <c r="F21" s="21">
        <v>1</v>
      </c>
      <c r="G21" s="21">
        <v>1</v>
      </c>
      <c r="H21" s="21">
        <f t="shared" si="0"/>
        <v>1</v>
      </c>
      <c r="I21" s="22" t="e">
        <f t="shared" si="1"/>
        <v>#REF!</v>
      </c>
      <c r="J21" s="22" t="e">
        <f t="shared" si="2"/>
        <v>#REF!</v>
      </c>
      <c r="K21" s="11"/>
      <c r="L21" s="11"/>
      <c r="M21" s="11"/>
      <c r="N21" s="11"/>
      <c r="O21" s="11"/>
      <c r="P21" s="11"/>
      <c r="Q21" s="11"/>
      <c r="R21" s="11"/>
      <c r="S21" s="11"/>
    </row>
    <row r="22" spans="1:19" ht="15.75" customHeight="1" x14ac:dyDescent="0.3">
      <c r="A22" s="3">
        <v>16</v>
      </c>
      <c r="B22" s="4" t="s">
        <v>285</v>
      </c>
      <c r="C22" s="31" t="e">
        <f>#REF!</f>
        <v>#REF!</v>
      </c>
      <c r="D22" s="21" t="e">
        <f>#REF!</f>
        <v>#REF!</v>
      </c>
      <c r="E22" s="21">
        <v>1</v>
      </c>
      <c r="F22" s="21">
        <v>0.6</v>
      </c>
      <c r="G22" s="21">
        <v>1</v>
      </c>
      <c r="H22" s="21">
        <f t="shared" si="0"/>
        <v>0.8666666666666667</v>
      </c>
      <c r="I22" s="22" t="e">
        <f t="shared" si="1"/>
        <v>#REF!</v>
      </c>
      <c r="J22" s="22" t="e">
        <f t="shared" si="2"/>
        <v>#REF!</v>
      </c>
      <c r="K22" s="11"/>
      <c r="L22" s="11"/>
      <c r="M22" s="11"/>
      <c r="N22" s="11"/>
      <c r="O22" s="11"/>
      <c r="P22" s="11"/>
      <c r="Q22" s="11"/>
      <c r="R22" s="11"/>
      <c r="S22" s="11"/>
    </row>
    <row r="23" spans="1:19" ht="15.75" customHeight="1" x14ac:dyDescent="0.3">
      <c r="A23" s="3">
        <v>17</v>
      </c>
      <c r="B23" s="4" t="s">
        <v>286</v>
      </c>
      <c r="C23" s="31" t="e">
        <f>#REF!</f>
        <v>#REF!</v>
      </c>
      <c r="D23" s="21" t="e">
        <f>#REF!</f>
        <v>#REF!</v>
      </c>
      <c r="E23" s="21">
        <v>1</v>
      </c>
      <c r="F23" s="21">
        <v>1</v>
      </c>
      <c r="G23" s="21">
        <v>1</v>
      </c>
      <c r="H23" s="21">
        <f t="shared" si="0"/>
        <v>1</v>
      </c>
      <c r="I23" s="22" t="e">
        <f t="shared" si="1"/>
        <v>#REF!</v>
      </c>
      <c r="J23" s="22" t="e">
        <f t="shared" si="2"/>
        <v>#REF!</v>
      </c>
      <c r="K23" s="11"/>
      <c r="L23" s="11"/>
      <c r="M23" s="11"/>
      <c r="N23" s="11"/>
      <c r="O23" s="11"/>
      <c r="P23" s="11"/>
      <c r="Q23" s="11"/>
      <c r="R23" s="11"/>
      <c r="S23" s="11"/>
    </row>
    <row r="24" spans="1:19" ht="15.75" customHeight="1" x14ac:dyDescent="0.3">
      <c r="A24" s="3">
        <v>23</v>
      </c>
      <c r="B24" s="4" t="s">
        <v>287</v>
      </c>
      <c r="C24" s="31" t="e">
        <f>#REF!</f>
        <v>#REF!</v>
      </c>
      <c r="D24" s="21" t="e">
        <f>#REF!</f>
        <v>#REF!</v>
      </c>
      <c r="E24" s="21">
        <v>1</v>
      </c>
      <c r="F24" s="21">
        <v>1</v>
      </c>
      <c r="G24" s="21">
        <v>1</v>
      </c>
      <c r="H24" s="21">
        <f t="shared" si="0"/>
        <v>1</v>
      </c>
      <c r="I24" s="22" t="e">
        <f t="shared" si="1"/>
        <v>#REF!</v>
      </c>
      <c r="J24" s="22" t="e">
        <f t="shared" si="2"/>
        <v>#REF!</v>
      </c>
      <c r="K24" s="11"/>
      <c r="L24" s="11"/>
      <c r="M24" s="11"/>
      <c r="N24" s="11"/>
      <c r="O24" s="11"/>
      <c r="P24" s="11"/>
      <c r="Q24" s="11"/>
      <c r="R24" s="11"/>
      <c r="S24" s="11"/>
    </row>
    <row r="25" spans="1:19" ht="15.75" customHeight="1" x14ac:dyDescent="0.3">
      <c r="A25" s="3">
        <v>39</v>
      </c>
      <c r="B25" s="87" t="s">
        <v>288</v>
      </c>
      <c r="C25" s="31" t="e">
        <f>#REF!</f>
        <v>#REF!</v>
      </c>
      <c r="D25" s="21" t="e">
        <f>#REF!</f>
        <v>#REF!</v>
      </c>
      <c r="E25" s="21">
        <v>1</v>
      </c>
      <c r="F25" s="21">
        <v>1</v>
      </c>
      <c r="G25" s="21">
        <v>0.8</v>
      </c>
      <c r="H25" s="21">
        <f t="shared" si="0"/>
        <v>0.93333333333333324</v>
      </c>
      <c r="I25" s="22" t="e">
        <f t="shared" si="1"/>
        <v>#REF!</v>
      </c>
      <c r="J25" s="22" t="e">
        <f t="shared" si="2"/>
        <v>#REF!</v>
      </c>
      <c r="K25" s="11"/>
      <c r="L25" s="11"/>
      <c r="M25" s="11"/>
      <c r="N25" s="11"/>
      <c r="O25" s="11"/>
      <c r="P25" s="11"/>
      <c r="Q25" s="11"/>
      <c r="R25" s="11"/>
      <c r="S25" s="11"/>
    </row>
    <row r="26" spans="1:19" ht="15.75" customHeight="1" x14ac:dyDescent="0.3">
      <c r="A26" s="3">
        <v>40</v>
      </c>
      <c r="B26" s="4" t="s">
        <v>289</v>
      </c>
      <c r="C26" s="31" t="e">
        <f>#REF!</f>
        <v>#REF!</v>
      </c>
      <c r="D26" s="21" t="e">
        <f>#REF!</f>
        <v>#REF!</v>
      </c>
      <c r="E26" s="21">
        <v>1</v>
      </c>
      <c r="F26" s="21">
        <v>1</v>
      </c>
      <c r="G26" s="21">
        <v>1</v>
      </c>
      <c r="H26" s="21">
        <f t="shared" si="0"/>
        <v>1</v>
      </c>
      <c r="I26" s="22" t="e">
        <f t="shared" si="1"/>
        <v>#REF!</v>
      </c>
      <c r="J26" s="22" t="e">
        <f t="shared" si="2"/>
        <v>#REF!</v>
      </c>
      <c r="K26" s="11"/>
      <c r="L26" s="11"/>
      <c r="M26" s="11"/>
      <c r="N26" s="11"/>
      <c r="O26" s="11"/>
      <c r="P26" s="11"/>
      <c r="Q26" s="11"/>
      <c r="R26" s="11"/>
      <c r="S26" s="11"/>
    </row>
    <row r="27" spans="1:19" ht="15.75" customHeight="1" x14ac:dyDescent="0.3">
      <c r="A27" s="3">
        <v>53</v>
      </c>
      <c r="B27" s="4" t="s">
        <v>60</v>
      </c>
      <c r="C27" s="31" t="e">
        <f>#REF!</f>
        <v>#REF!</v>
      </c>
      <c r="D27" s="21" t="e">
        <f>#REF!</f>
        <v>#REF!</v>
      </c>
      <c r="E27" s="21">
        <v>1</v>
      </c>
      <c r="F27" s="21">
        <v>0.8</v>
      </c>
      <c r="G27" s="21">
        <v>1</v>
      </c>
      <c r="H27" s="21">
        <f t="shared" si="0"/>
        <v>0.93333333333333324</v>
      </c>
      <c r="I27" s="22" t="e">
        <f t="shared" si="1"/>
        <v>#REF!</v>
      </c>
      <c r="J27" s="22" t="e">
        <f t="shared" si="2"/>
        <v>#REF!</v>
      </c>
      <c r="K27" s="11"/>
      <c r="L27" s="11"/>
      <c r="M27" s="11"/>
      <c r="N27" s="11"/>
      <c r="O27" s="11"/>
      <c r="P27" s="11"/>
      <c r="Q27" s="11"/>
      <c r="R27" s="11"/>
      <c r="S27" s="11"/>
    </row>
    <row r="28" spans="1:19" ht="15.75" customHeight="1" x14ac:dyDescent="0.3">
      <c r="A28" s="3">
        <v>56</v>
      </c>
      <c r="B28" s="4" t="s">
        <v>290</v>
      </c>
      <c r="C28" s="31" t="e">
        <f>#REF!</f>
        <v>#REF!</v>
      </c>
      <c r="D28" s="21" t="e">
        <f>#REF!</f>
        <v>#REF!</v>
      </c>
      <c r="E28" s="21">
        <v>1</v>
      </c>
      <c r="F28" s="21">
        <v>1</v>
      </c>
      <c r="G28" s="21">
        <v>1</v>
      </c>
      <c r="H28" s="21">
        <f t="shared" si="0"/>
        <v>1</v>
      </c>
      <c r="I28" s="22" t="e">
        <f t="shared" si="1"/>
        <v>#REF!</v>
      </c>
      <c r="J28" s="22" t="e">
        <f t="shared" si="2"/>
        <v>#REF!</v>
      </c>
      <c r="K28" s="11"/>
      <c r="L28" s="11"/>
      <c r="M28" s="11"/>
      <c r="N28" s="11"/>
      <c r="O28" s="11"/>
      <c r="P28" s="11"/>
      <c r="Q28" s="11"/>
      <c r="R28" s="11"/>
      <c r="S28" s="11"/>
    </row>
    <row r="29" spans="1:19" ht="15.75" customHeight="1" x14ac:dyDescent="0.3">
      <c r="A29" s="3">
        <v>61</v>
      </c>
      <c r="B29" s="4" t="s">
        <v>291</v>
      </c>
      <c r="C29" s="31" t="e">
        <f>#REF!</f>
        <v>#REF!</v>
      </c>
      <c r="D29" s="21" t="e">
        <f>#REF!</f>
        <v>#REF!</v>
      </c>
      <c r="E29" s="21">
        <v>1</v>
      </c>
      <c r="F29" s="21">
        <v>1</v>
      </c>
      <c r="G29" s="21">
        <v>1</v>
      </c>
      <c r="H29" s="21">
        <f t="shared" si="0"/>
        <v>1</v>
      </c>
      <c r="I29" s="22" t="e">
        <f t="shared" si="1"/>
        <v>#REF!</v>
      </c>
      <c r="J29" s="22" t="e">
        <f t="shared" si="2"/>
        <v>#REF!</v>
      </c>
      <c r="K29" s="11"/>
      <c r="L29" s="11"/>
      <c r="M29" s="11"/>
      <c r="N29" s="11"/>
      <c r="O29" s="11"/>
      <c r="P29" s="11"/>
      <c r="Q29" s="11"/>
      <c r="R29" s="11"/>
      <c r="S29" s="11"/>
    </row>
    <row r="30" spans="1:19" ht="15.75" customHeight="1" x14ac:dyDescent="0.3">
      <c r="A30" s="3">
        <v>66</v>
      </c>
      <c r="B30" s="4" t="s">
        <v>292</v>
      </c>
      <c r="C30" s="31" t="e">
        <f>#REF!</f>
        <v>#REF!</v>
      </c>
      <c r="D30" s="21" t="e">
        <f>#REF!</f>
        <v>#REF!</v>
      </c>
      <c r="E30" s="21">
        <v>1</v>
      </c>
      <c r="F30" s="21">
        <v>0</v>
      </c>
      <c r="G30" s="21">
        <v>1</v>
      </c>
      <c r="H30" s="21">
        <f t="shared" si="0"/>
        <v>0.66666666666666663</v>
      </c>
      <c r="I30" s="22" t="e">
        <f t="shared" si="1"/>
        <v>#REF!</v>
      </c>
      <c r="J30" s="22" t="e">
        <f t="shared" si="2"/>
        <v>#REF!</v>
      </c>
      <c r="K30" s="11"/>
      <c r="L30" s="11"/>
      <c r="M30" s="11"/>
      <c r="N30" s="11"/>
      <c r="O30" s="11"/>
      <c r="P30" s="11"/>
      <c r="Q30" s="11"/>
      <c r="R30" s="11"/>
      <c r="S30" s="11"/>
    </row>
    <row r="31" spans="1:19" ht="15.75" customHeight="1" x14ac:dyDescent="0.3">
      <c r="A31" s="3">
        <v>68</v>
      </c>
      <c r="B31" s="4" t="s">
        <v>293</v>
      </c>
      <c r="C31" s="31" t="e">
        <f>#REF!</f>
        <v>#REF!</v>
      </c>
      <c r="D31" s="21" t="e">
        <f>#REF!</f>
        <v>#REF!</v>
      </c>
      <c r="E31" s="21">
        <v>1</v>
      </c>
      <c r="F31" s="31" t="s">
        <v>65</v>
      </c>
      <c r="G31" s="21">
        <v>1</v>
      </c>
      <c r="H31" s="21">
        <f t="shared" si="0"/>
        <v>1</v>
      </c>
      <c r="I31" s="32">
        <v>1</v>
      </c>
      <c r="J31" s="32" t="e">
        <f t="shared" si="2"/>
        <v>#REF!</v>
      </c>
      <c r="K31" s="11"/>
      <c r="L31" s="11"/>
      <c r="M31" s="11"/>
      <c r="N31" s="11"/>
      <c r="O31" s="11"/>
      <c r="P31" s="11"/>
      <c r="Q31" s="11"/>
      <c r="R31" s="11"/>
      <c r="S31" s="11"/>
    </row>
    <row r="32" spans="1:19" ht="15.75" customHeight="1" x14ac:dyDescent="0.3">
      <c r="A32" s="3">
        <v>78</v>
      </c>
      <c r="B32" s="4" t="s">
        <v>66</v>
      </c>
      <c r="C32" s="31" t="e">
        <f>#REF!</f>
        <v>#REF!</v>
      </c>
      <c r="D32" s="21" t="e">
        <f>#REF!</f>
        <v>#REF!</v>
      </c>
      <c r="E32" s="21">
        <v>1</v>
      </c>
      <c r="F32" s="21">
        <v>1</v>
      </c>
      <c r="G32" s="21">
        <v>0.8</v>
      </c>
      <c r="H32" s="21">
        <f t="shared" si="0"/>
        <v>0.93333333333333324</v>
      </c>
      <c r="I32" s="22" t="e">
        <f t="shared" ref="I32:I52" si="3">C32*(30%*F32+70%*G32)</f>
        <v>#REF!</v>
      </c>
      <c r="J32" s="22" t="e">
        <f t="shared" si="2"/>
        <v>#REF!</v>
      </c>
      <c r="K32" s="11"/>
      <c r="L32" s="11"/>
      <c r="M32" s="11"/>
      <c r="N32" s="11"/>
      <c r="O32" s="11"/>
      <c r="P32" s="11"/>
      <c r="Q32" s="11"/>
      <c r="R32" s="11"/>
      <c r="S32" s="11"/>
    </row>
    <row r="33" spans="1:19" ht="15.75" customHeight="1" x14ac:dyDescent="0.3">
      <c r="A33" s="3">
        <v>86</v>
      </c>
      <c r="B33" s="87" t="s">
        <v>294</v>
      </c>
      <c r="C33" s="31" t="e">
        <f>#REF!</f>
        <v>#REF!</v>
      </c>
      <c r="D33" s="21" t="e">
        <f>#REF!</f>
        <v>#REF!</v>
      </c>
      <c r="E33" s="21">
        <v>1</v>
      </c>
      <c r="F33" s="21">
        <v>1</v>
      </c>
      <c r="G33" s="21">
        <v>1</v>
      </c>
      <c r="H33" s="21">
        <f t="shared" si="0"/>
        <v>1</v>
      </c>
      <c r="I33" s="22" t="e">
        <f t="shared" si="3"/>
        <v>#REF!</v>
      </c>
      <c r="J33" s="22" t="e">
        <f t="shared" si="2"/>
        <v>#REF!</v>
      </c>
      <c r="K33" s="11"/>
      <c r="L33" s="11"/>
      <c r="M33" s="11"/>
      <c r="N33" s="11"/>
      <c r="O33" s="11"/>
      <c r="P33" s="11"/>
      <c r="Q33" s="11"/>
      <c r="R33" s="11"/>
      <c r="S33" s="11"/>
    </row>
    <row r="34" spans="1:19" ht="15.75" customHeight="1" x14ac:dyDescent="0.3">
      <c r="A34" s="3">
        <v>88</v>
      </c>
      <c r="B34" s="4" t="s">
        <v>295</v>
      </c>
      <c r="C34" s="31" t="e">
        <f>#REF!</f>
        <v>#REF!</v>
      </c>
      <c r="D34" s="21" t="e">
        <f>#REF!</f>
        <v>#REF!</v>
      </c>
      <c r="E34" s="21">
        <v>1</v>
      </c>
      <c r="F34" s="21">
        <v>1</v>
      </c>
      <c r="G34" s="21">
        <v>1</v>
      </c>
      <c r="H34" s="21">
        <f t="shared" si="0"/>
        <v>1</v>
      </c>
      <c r="I34" s="22" t="e">
        <f t="shared" si="3"/>
        <v>#REF!</v>
      </c>
      <c r="J34" s="22" t="e">
        <f t="shared" si="2"/>
        <v>#REF!</v>
      </c>
      <c r="K34" s="11"/>
      <c r="L34" s="11"/>
      <c r="M34" s="11"/>
      <c r="N34" s="11"/>
      <c r="O34" s="11"/>
      <c r="P34" s="11"/>
      <c r="Q34" s="11"/>
      <c r="R34" s="11"/>
      <c r="S34" s="11"/>
    </row>
    <row r="35" spans="1:19" ht="15.75" customHeight="1" x14ac:dyDescent="0.3">
      <c r="A35" s="3">
        <v>94</v>
      </c>
      <c r="B35" s="87" t="s">
        <v>296</v>
      </c>
      <c r="C35" s="31" t="e">
        <f>#REF!</f>
        <v>#REF!</v>
      </c>
      <c r="D35" s="21" t="e">
        <f>#REF!</f>
        <v>#REF!</v>
      </c>
      <c r="E35" s="21">
        <v>1</v>
      </c>
      <c r="F35" s="21">
        <v>1</v>
      </c>
      <c r="G35" s="21">
        <v>1</v>
      </c>
      <c r="H35" s="21">
        <f t="shared" si="0"/>
        <v>1</v>
      </c>
      <c r="I35" s="22" t="e">
        <f t="shared" si="3"/>
        <v>#REF!</v>
      </c>
      <c r="J35" s="22" t="e">
        <f t="shared" si="2"/>
        <v>#REF!</v>
      </c>
      <c r="K35" s="11"/>
      <c r="L35" s="11"/>
      <c r="M35" s="11"/>
      <c r="N35" s="11"/>
      <c r="O35" s="11"/>
      <c r="P35" s="11"/>
      <c r="Q35" s="11"/>
      <c r="R35" s="11"/>
      <c r="S35" s="11"/>
    </row>
    <row r="36" spans="1:19" ht="15.75" customHeight="1" x14ac:dyDescent="0.3">
      <c r="A36" s="3">
        <v>95</v>
      </c>
      <c r="B36" s="87" t="s">
        <v>297</v>
      </c>
      <c r="C36" s="31" t="e">
        <f>#REF!</f>
        <v>#REF!</v>
      </c>
      <c r="D36" s="21" t="e">
        <f>#REF!</f>
        <v>#REF!</v>
      </c>
      <c r="E36" s="21">
        <v>1</v>
      </c>
      <c r="F36" s="21">
        <v>0.6</v>
      </c>
      <c r="G36" s="21">
        <v>1</v>
      </c>
      <c r="H36" s="21">
        <f t="shared" si="0"/>
        <v>0.8666666666666667</v>
      </c>
      <c r="I36" s="22" t="e">
        <f t="shared" si="3"/>
        <v>#REF!</v>
      </c>
      <c r="J36" s="22" t="e">
        <f t="shared" si="2"/>
        <v>#REF!</v>
      </c>
      <c r="K36" s="11"/>
      <c r="L36" s="11"/>
      <c r="M36" s="11"/>
      <c r="N36" s="11"/>
      <c r="O36" s="11"/>
      <c r="P36" s="11"/>
      <c r="Q36" s="11"/>
      <c r="R36" s="11"/>
      <c r="S36" s="11"/>
    </row>
    <row r="37" spans="1:19" ht="15.75" customHeight="1" x14ac:dyDescent="0.3">
      <c r="A37" s="3">
        <v>105</v>
      </c>
      <c r="B37" s="87" t="s">
        <v>298</v>
      </c>
      <c r="C37" s="31" t="e">
        <f>#REF!</f>
        <v>#REF!</v>
      </c>
      <c r="D37" s="21" t="e">
        <f>#REF!</f>
        <v>#REF!</v>
      </c>
      <c r="E37" s="21">
        <v>1</v>
      </c>
      <c r="F37" s="21">
        <v>1</v>
      </c>
      <c r="G37" s="21">
        <v>1</v>
      </c>
      <c r="H37" s="21">
        <f t="shared" si="0"/>
        <v>1</v>
      </c>
      <c r="I37" s="22" t="e">
        <f t="shared" si="3"/>
        <v>#REF!</v>
      </c>
      <c r="J37" s="22" t="e">
        <f t="shared" si="2"/>
        <v>#REF!</v>
      </c>
      <c r="K37" s="11"/>
      <c r="L37" s="11"/>
      <c r="M37" s="11"/>
      <c r="N37" s="11"/>
      <c r="O37" s="11"/>
      <c r="P37" s="11"/>
      <c r="Q37" s="11"/>
      <c r="R37" s="11"/>
      <c r="S37" s="11"/>
    </row>
    <row r="38" spans="1:19" ht="15.75" customHeight="1" x14ac:dyDescent="0.3">
      <c r="A38" s="3">
        <v>108</v>
      </c>
      <c r="B38" s="4" t="s">
        <v>299</v>
      </c>
      <c r="C38" s="31" t="e">
        <f>#REF!</f>
        <v>#REF!</v>
      </c>
      <c r="D38" s="21" t="e">
        <f>#REF!</f>
        <v>#REF!</v>
      </c>
      <c r="E38" s="21">
        <v>1</v>
      </c>
      <c r="F38" s="21">
        <v>0.8</v>
      </c>
      <c r="G38" s="21">
        <v>0.8</v>
      </c>
      <c r="H38" s="21">
        <f t="shared" si="0"/>
        <v>0.8666666666666667</v>
      </c>
      <c r="I38" s="22" t="e">
        <f t="shared" si="3"/>
        <v>#REF!</v>
      </c>
      <c r="J38" s="22" t="e">
        <f t="shared" si="2"/>
        <v>#REF!</v>
      </c>
      <c r="K38" s="11"/>
      <c r="L38" s="11"/>
      <c r="M38" s="11"/>
      <c r="N38" s="11"/>
      <c r="O38" s="11"/>
      <c r="P38" s="11"/>
      <c r="Q38" s="11"/>
      <c r="R38" s="11"/>
      <c r="S38" s="11"/>
    </row>
    <row r="39" spans="1:19" ht="15.75" customHeight="1" x14ac:dyDescent="0.3">
      <c r="A39" s="3">
        <v>115</v>
      </c>
      <c r="B39" s="4" t="s">
        <v>300</v>
      </c>
      <c r="C39" s="31" t="e">
        <f>#REF!</f>
        <v>#REF!</v>
      </c>
      <c r="D39" s="21" t="e">
        <f>#REF!</f>
        <v>#REF!</v>
      </c>
      <c r="E39" s="21">
        <v>1</v>
      </c>
      <c r="F39" s="21">
        <v>0.8</v>
      </c>
      <c r="G39" s="21">
        <v>1</v>
      </c>
      <c r="H39" s="21">
        <f t="shared" si="0"/>
        <v>0.93333333333333324</v>
      </c>
      <c r="I39" s="22" t="e">
        <f t="shared" si="3"/>
        <v>#REF!</v>
      </c>
      <c r="J39" s="22" t="e">
        <f t="shared" si="2"/>
        <v>#REF!</v>
      </c>
      <c r="K39" s="11"/>
      <c r="L39" s="11"/>
      <c r="M39" s="11"/>
      <c r="N39" s="11"/>
      <c r="O39" s="11"/>
      <c r="P39" s="11"/>
      <c r="Q39" s="11"/>
      <c r="R39" s="11"/>
      <c r="S39" s="11"/>
    </row>
    <row r="40" spans="1:19" ht="15.75" customHeight="1" x14ac:dyDescent="0.3">
      <c r="A40" s="3">
        <v>131</v>
      </c>
      <c r="B40" s="4" t="s">
        <v>301</v>
      </c>
      <c r="C40" s="31" t="e">
        <f>#REF!</f>
        <v>#REF!</v>
      </c>
      <c r="D40" s="21" t="e">
        <f>#REF!</f>
        <v>#REF!</v>
      </c>
      <c r="E40" s="21">
        <v>1</v>
      </c>
      <c r="F40" s="21">
        <v>1</v>
      </c>
      <c r="G40" s="21">
        <v>1</v>
      </c>
      <c r="H40" s="21">
        <f t="shared" si="0"/>
        <v>1</v>
      </c>
      <c r="I40" s="22" t="e">
        <f t="shared" si="3"/>
        <v>#REF!</v>
      </c>
      <c r="J40" s="22" t="e">
        <f t="shared" si="2"/>
        <v>#REF!</v>
      </c>
      <c r="K40" s="11"/>
      <c r="L40" s="11"/>
      <c r="M40" s="11"/>
      <c r="N40" s="11"/>
      <c r="O40" s="11"/>
      <c r="P40" s="11"/>
      <c r="Q40" s="11"/>
      <c r="R40" s="11"/>
      <c r="S40" s="11"/>
    </row>
    <row r="41" spans="1:19" ht="15.75" customHeight="1" x14ac:dyDescent="0.3">
      <c r="A41" s="3">
        <v>132</v>
      </c>
      <c r="B41" s="4" t="s">
        <v>302</v>
      </c>
      <c r="C41" s="31" t="e">
        <f>#REF!</f>
        <v>#REF!</v>
      </c>
      <c r="D41" s="21" t="e">
        <f>#REF!</f>
        <v>#REF!</v>
      </c>
      <c r="E41" s="21">
        <v>1</v>
      </c>
      <c r="F41" s="21">
        <v>0.8</v>
      </c>
      <c r="G41" s="21">
        <v>1</v>
      </c>
      <c r="H41" s="21">
        <f t="shared" si="0"/>
        <v>0.93333333333333324</v>
      </c>
      <c r="I41" s="22" t="e">
        <f t="shared" si="3"/>
        <v>#REF!</v>
      </c>
      <c r="J41" s="22" t="e">
        <f t="shared" si="2"/>
        <v>#REF!</v>
      </c>
      <c r="K41" s="11"/>
      <c r="L41" s="11"/>
      <c r="M41" s="11"/>
      <c r="N41" s="11"/>
      <c r="O41" s="11"/>
      <c r="P41" s="11"/>
      <c r="Q41" s="11"/>
      <c r="R41" s="11"/>
      <c r="S41" s="11"/>
    </row>
    <row r="42" spans="1:19" ht="15.75" customHeight="1" x14ac:dyDescent="0.3">
      <c r="A42" s="3">
        <v>147</v>
      </c>
      <c r="B42" s="4" t="s">
        <v>303</v>
      </c>
      <c r="C42" s="31" t="e">
        <f>#REF!</f>
        <v>#REF!</v>
      </c>
      <c r="D42" s="21" t="e">
        <f>#REF!</f>
        <v>#REF!</v>
      </c>
      <c r="E42" s="21">
        <v>1</v>
      </c>
      <c r="F42" s="21">
        <v>1</v>
      </c>
      <c r="G42" s="21">
        <v>1</v>
      </c>
      <c r="H42" s="21">
        <f t="shared" si="0"/>
        <v>1</v>
      </c>
      <c r="I42" s="22" t="e">
        <f t="shared" si="3"/>
        <v>#REF!</v>
      </c>
      <c r="J42" s="22" t="e">
        <f t="shared" si="2"/>
        <v>#REF!</v>
      </c>
      <c r="K42" s="11"/>
      <c r="L42" s="11"/>
      <c r="M42" s="11"/>
      <c r="N42" s="11"/>
      <c r="O42" s="11"/>
      <c r="P42" s="11"/>
      <c r="Q42" s="11"/>
      <c r="R42" s="11"/>
      <c r="S42" s="11"/>
    </row>
    <row r="43" spans="1:19" ht="15.75" customHeight="1" x14ac:dyDescent="0.3">
      <c r="A43" s="3">
        <v>151</v>
      </c>
      <c r="B43" s="4" t="s">
        <v>304</v>
      </c>
      <c r="C43" s="31" t="e">
        <f>#REF!</f>
        <v>#REF!</v>
      </c>
      <c r="D43" s="21" t="e">
        <f>#REF!</f>
        <v>#REF!</v>
      </c>
      <c r="E43" s="21">
        <v>1</v>
      </c>
      <c r="F43" s="21">
        <v>1</v>
      </c>
      <c r="G43" s="21">
        <v>10.01</v>
      </c>
      <c r="H43" s="21">
        <f t="shared" si="0"/>
        <v>4.003333333333333</v>
      </c>
      <c r="I43" s="22" t="e">
        <f t="shared" si="3"/>
        <v>#REF!</v>
      </c>
      <c r="J43" s="22" t="e">
        <f t="shared" si="2"/>
        <v>#REF!</v>
      </c>
      <c r="K43" s="11"/>
      <c r="L43" s="11"/>
      <c r="M43" s="11"/>
      <c r="N43" s="11"/>
      <c r="O43" s="11"/>
      <c r="P43" s="11"/>
      <c r="Q43" s="11"/>
      <c r="R43" s="11"/>
      <c r="S43" s="11"/>
    </row>
    <row r="44" spans="1:19" ht="15.75" customHeight="1" x14ac:dyDescent="0.3">
      <c r="A44" s="3">
        <v>152</v>
      </c>
      <c r="B44" s="4" t="s">
        <v>305</v>
      </c>
      <c r="C44" s="31" t="e">
        <f>#REF!</f>
        <v>#REF!</v>
      </c>
      <c r="D44" s="21" t="e">
        <f>#REF!</f>
        <v>#REF!</v>
      </c>
      <c r="E44" s="21">
        <v>1</v>
      </c>
      <c r="F44" s="21">
        <v>1</v>
      </c>
      <c r="G44" s="21">
        <v>1</v>
      </c>
      <c r="H44" s="21">
        <f t="shared" si="0"/>
        <v>1</v>
      </c>
      <c r="I44" s="22" t="e">
        <f t="shared" si="3"/>
        <v>#REF!</v>
      </c>
      <c r="J44" s="22" t="e">
        <f t="shared" si="2"/>
        <v>#REF!</v>
      </c>
      <c r="K44" s="11"/>
      <c r="L44" s="11"/>
      <c r="M44" s="11"/>
      <c r="N44" s="11"/>
      <c r="O44" s="11"/>
      <c r="P44" s="11"/>
      <c r="Q44" s="11"/>
      <c r="R44" s="11"/>
      <c r="S44" s="11"/>
    </row>
    <row r="45" spans="1:19" ht="15.75" customHeight="1" x14ac:dyDescent="0.3">
      <c r="A45" s="3">
        <v>153</v>
      </c>
      <c r="B45" s="8" t="s">
        <v>306</v>
      </c>
      <c r="C45" s="31" t="e">
        <f>#REF!</f>
        <v>#REF!</v>
      </c>
      <c r="D45" s="21" t="e">
        <f>#REF!</f>
        <v>#REF!</v>
      </c>
      <c r="E45" s="21">
        <v>1</v>
      </c>
      <c r="F45" s="21">
        <v>1</v>
      </c>
      <c r="G45" s="21">
        <v>1</v>
      </c>
      <c r="H45" s="21">
        <f t="shared" si="0"/>
        <v>1</v>
      </c>
      <c r="I45" s="22" t="e">
        <f t="shared" si="3"/>
        <v>#REF!</v>
      </c>
      <c r="J45" s="22" t="e">
        <f t="shared" si="2"/>
        <v>#REF!</v>
      </c>
      <c r="K45" s="11"/>
      <c r="L45" s="11"/>
      <c r="M45" s="11"/>
      <c r="N45" s="11"/>
      <c r="O45" s="11"/>
      <c r="P45" s="11"/>
      <c r="Q45" s="11"/>
      <c r="R45" s="11"/>
      <c r="S45" s="11"/>
    </row>
    <row r="46" spans="1:19" ht="15.75" customHeight="1" x14ac:dyDescent="0.3">
      <c r="A46" s="3">
        <v>156</v>
      </c>
      <c r="B46" s="4" t="s">
        <v>307</v>
      </c>
      <c r="C46" s="31" t="e">
        <f>#REF!</f>
        <v>#REF!</v>
      </c>
      <c r="D46" s="21" t="e">
        <f>#REF!</f>
        <v>#REF!</v>
      </c>
      <c r="E46" s="21">
        <v>1</v>
      </c>
      <c r="F46" s="21">
        <v>1</v>
      </c>
      <c r="G46" s="21">
        <v>1</v>
      </c>
      <c r="H46" s="21">
        <f t="shared" si="0"/>
        <v>1</v>
      </c>
      <c r="I46" s="22" t="e">
        <f t="shared" si="3"/>
        <v>#REF!</v>
      </c>
      <c r="J46" s="22" t="e">
        <f t="shared" si="2"/>
        <v>#REF!</v>
      </c>
      <c r="K46" s="11"/>
      <c r="L46" s="11"/>
      <c r="M46" s="11"/>
      <c r="N46" s="11"/>
      <c r="O46" s="11"/>
      <c r="P46" s="11"/>
      <c r="Q46" s="11"/>
      <c r="R46" s="11"/>
      <c r="S46" s="11"/>
    </row>
    <row r="47" spans="1:19" ht="15.75" customHeight="1" x14ac:dyDescent="0.3">
      <c r="A47" s="3">
        <v>157</v>
      </c>
      <c r="B47" s="4" t="s">
        <v>308</v>
      </c>
      <c r="C47" s="31" t="e">
        <f>#REF!</f>
        <v>#REF!</v>
      </c>
      <c r="D47" s="21" t="e">
        <f>#REF!</f>
        <v>#REF!</v>
      </c>
      <c r="E47" s="21">
        <v>1</v>
      </c>
      <c r="F47" s="21">
        <v>1</v>
      </c>
      <c r="G47" s="21">
        <v>1</v>
      </c>
      <c r="H47" s="21">
        <f t="shared" si="0"/>
        <v>1</v>
      </c>
      <c r="I47" s="22" t="e">
        <f t="shared" si="3"/>
        <v>#REF!</v>
      </c>
      <c r="J47" s="22" t="e">
        <f t="shared" si="2"/>
        <v>#REF!</v>
      </c>
      <c r="K47" s="11"/>
      <c r="L47" s="11"/>
      <c r="M47" s="11"/>
      <c r="N47" s="11"/>
      <c r="O47" s="11"/>
      <c r="P47" s="11"/>
      <c r="Q47" s="11"/>
      <c r="R47" s="11"/>
      <c r="S47" s="11"/>
    </row>
    <row r="48" spans="1:19" ht="15.75" customHeight="1" x14ac:dyDescent="0.3">
      <c r="A48" s="3">
        <v>158</v>
      </c>
      <c r="B48" s="4" t="s">
        <v>309</v>
      </c>
      <c r="C48" s="31" t="e">
        <f>#REF!</f>
        <v>#REF!</v>
      </c>
      <c r="D48" s="21" t="e">
        <f>#REF!</f>
        <v>#REF!</v>
      </c>
      <c r="E48" s="21">
        <v>1</v>
      </c>
      <c r="F48" s="21">
        <v>1</v>
      </c>
      <c r="G48" s="21">
        <v>1</v>
      </c>
      <c r="H48" s="21">
        <f t="shared" si="0"/>
        <v>1</v>
      </c>
      <c r="I48" s="22" t="e">
        <f t="shared" si="3"/>
        <v>#REF!</v>
      </c>
      <c r="J48" s="22" t="e">
        <f t="shared" si="2"/>
        <v>#REF!</v>
      </c>
      <c r="K48" s="11"/>
      <c r="L48" s="11"/>
      <c r="M48" s="11"/>
      <c r="N48" s="11"/>
      <c r="O48" s="11"/>
      <c r="P48" s="11"/>
      <c r="Q48" s="11"/>
      <c r="R48" s="11"/>
      <c r="S48" s="11"/>
    </row>
    <row r="49" spans="1:19" ht="15.75" customHeight="1" x14ac:dyDescent="0.3">
      <c r="A49" s="3">
        <v>161</v>
      </c>
      <c r="B49" s="4" t="s">
        <v>310</v>
      </c>
      <c r="C49" s="31" t="e">
        <f>#REF!</f>
        <v>#REF!</v>
      </c>
      <c r="D49" s="21" t="e">
        <f>#REF!</f>
        <v>#REF!</v>
      </c>
      <c r="E49" s="21">
        <v>1</v>
      </c>
      <c r="F49" s="21">
        <v>1</v>
      </c>
      <c r="G49" s="21">
        <v>1</v>
      </c>
      <c r="H49" s="21">
        <f t="shared" si="0"/>
        <v>1</v>
      </c>
      <c r="I49" s="22" t="e">
        <f t="shared" si="3"/>
        <v>#REF!</v>
      </c>
      <c r="J49" s="22" t="e">
        <f t="shared" si="2"/>
        <v>#REF!</v>
      </c>
      <c r="K49" s="11"/>
      <c r="L49" s="11"/>
      <c r="M49" s="11"/>
      <c r="N49" s="11"/>
      <c r="O49" s="11"/>
      <c r="P49" s="11"/>
      <c r="Q49" s="11"/>
      <c r="R49" s="11"/>
      <c r="S49" s="11"/>
    </row>
    <row r="50" spans="1:19" ht="15.75" customHeight="1" x14ac:dyDescent="0.3">
      <c r="A50" s="3">
        <v>162</v>
      </c>
      <c r="B50" s="4" t="s">
        <v>311</v>
      </c>
      <c r="C50" s="31" t="e">
        <f>#REF!</f>
        <v>#REF!</v>
      </c>
      <c r="D50" s="21" t="e">
        <f>#REF!</f>
        <v>#REF!</v>
      </c>
      <c r="E50" s="21">
        <v>1</v>
      </c>
      <c r="F50" s="21">
        <v>1</v>
      </c>
      <c r="G50" s="21">
        <v>1</v>
      </c>
      <c r="H50" s="21">
        <f t="shared" si="0"/>
        <v>1</v>
      </c>
      <c r="I50" s="22" t="e">
        <f t="shared" si="3"/>
        <v>#REF!</v>
      </c>
      <c r="J50" s="22" t="e">
        <f t="shared" si="2"/>
        <v>#REF!</v>
      </c>
      <c r="K50" s="11"/>
      <c r="L50" s="11"/>
      <c r="M50" s="11"/>
      <c r="N50" s="11"/>
      <c r="O50" s="11"/>
      <c r="P50" s="11"/>
      <c r="Q50" s="11"/>
      <c r="R50" s="11"/>
      <c r="S50" s="11"/>
    </row>
    <row r="51" spans="1:19" ht="15.75" customHeight="1" x14ac:dyDescent="0.3">
      <c r="A51" s="3">
        <v>166</v>
      </c>
      <c r="B51" s="4" t="s">
        <v>312</v>
      </c>
      <c r="C51" s="31" t="e">
        <f>#REF!</f>
        <v>#REF!</v>
      </c>
      <c r="D51" s="21" t="e">
        <f>#REF!</f>
        <v>#REF!</v>
      </c>
      <c r="E51" s="21">
        <v>1</v>
      </c>
      <c r="F51" s="21">
        <v>1</v>
      </c>
      <c r="G51" s="21">
        <v>1</v>
      </c>
      <c r="H51" s="21">
        <f t="shared" si="0"/>
        <v>1</v>
      </c>
      <c r="I51" s="22" t="e">
        <f t="shared" si="3"/>
        <v>#REF!</v>
      </c>
      <c r="J51" s="22" t="e">
        <f t="shared" si="2"/>
        <v>#REF!</v>
      </c>
      <c r="K51" s="11"/>
      <c r="L51" s="11"/>
      <c r="M51" s="11"/>
      <c r="N51" s="11"/>
      <c r="O51" s="11"/>
      <c r="P51" s="11"/>
      <c r="Q51" s="11"/>
      <c r="R51" s="11"/>
      <c r="S51" s="11"/>
    </row>
    <row r="52" spans="1:19" ht="15.75" customHeight="1" x14ac:dyDescent="0.3">
      <c r="A52" s="3">
        <v>169</v>
      </c>
      <c r="B52" s="4" t="s">
        <v>313</v>
      </c>
      <c r="C52" s="31" t="e">
        <f>#REF!</f>
        <v>#REF!</v>
      </c>
      <c r="D52" s="21" t="e">
        <f>#REF!</f>
        <v>#REF!</v>
      </c>
      <c r="E52" s="21">
        <v>1</v>
      </c>
      <c r="F52" s="21">
        <v>1</v>
      </c>
      <c r="G52" s="21">
        <v>0.6</v>
      </c>
      <c r="H52" s="21">
        <f t="shared" si="0"/>
        <v>0.8666666666666667</v>
      </c>
      <c r="I52" s="22" t="e">
        <f t="shared" si="3"/>
        <v>#REF!</v>
      </c>
      <c r="J52" s="22" t="e">
        <f t="shared" si="2"/>
        <v>#REF!</v>
      </c>
      <c r="K52" s="11"/>
      <c r="L52" s="11"/>
      <c r="M52" s="11"/>
      <c r="N52" s="11"/>
      <c r="O52" s="11"/>
      <c r="P52" s="11"/>
      <c r="Q52" s="11"/>
      <c r="R52" s="11"/>
      <c r="S52" s="11"/>
    </row>
    <row r="53" spans="1:19" ht="15.75" hidden="1" customHeight="1" x14ac:dyDescent="0.3">
      <c r="A53" s="3"/>
      <c r="B53" s="33"/>
      <c r="C53" s="34" t="e">
        <f>SUM(C18:C52)</f>
        <v>#REF!</v>
      </c>
      <c r="D53" s="35"/>
      <c r="E53" s="35"/>
      <c r="F53" s="35"/>
      <c r="G53" s="36"/>
      <c r="H53" s="36"/>
      <c r="I53" s="37"/>
      <c r="J53" s="34" t="e">
        <f>MIN(SUM(J18:J52),C53)</f>
        <v>#REF!</v>
      </c>
      <c r="K53" s="11"/>
      <c r="L53" s="11"/>
      <c r="M53" s="11"/>
      <c r="N53" s="11"/>
      <c r="O53" s="11"/>
      <c r="P53" s="11"/>
      <c r="Q53" s="11"/>
      <c r="R53" s="11"/>
      <c r="S53" s="11"/>
    </row>
    <row r="54" spans="1:19" ht="15.75" customHeight="1" x14ac:dyDescent="0.3">
      <c r="A54" s="3"/>
      <c r="B54" s="23" t="s">
        <v>86</v>
      </c>
      <c r="C54" s="9" t="e">
        <f>SUM(C53)</f>
        <v>#REF!</v>
      </c>
      <c r="D54" s="6"/>
      <c r="E54" s="6"/>
      <c r="F54" s="21"/>
      <c r="G54" s="202" t="s">
        <v>87</v>
      </c>
      <c r="H54" s="199"/>
      <c r="I54" s="200"/>
      <c r="J54" s="9" t="e">
        <f>MIN(SUM(J53),C54)</f>
        <v>#REF!</v>
      </c>
      <c r="K54" s="11"/>
      <c r="L54" s="11"/>
      <c r="M54" s="11"/>
      <c r="N54" s="11"/>
      <c r="O54" s="11"/>
      <c r="P54" s="11"/>
      <c r="Q54" s="11"/>
      <c r="R54" s="11"/>
      <c r="S54" s="11"/>
    </row>
    <row r="55" spans="1:19" ht="38.25" customHeight="1" x14ac:dyDescent="0.3">
      <c r="A55" s="3"/>
      <c r="B55" s="27" t="s">
        <v>314</v>
      </c>
      <c r="C55" s="28" t="e">
        <f>IF(C53=0,1,J53/C53)</f>
        <v>#REF!</v>
      </c>
      <c r="D55" s="198" t="s">
        <v>89</v>
      </c>
      <c r="E55" s="199"/>
      <c r="F55" s="199"/>
      <c r="G55" s="199"/>
      <c r="H55" s="199"/>
      <c r="I55" s="199"/>
      <c r="J55" s="200"/>
      <c r="K55" s="11"/>
      <c r="L55" s="11"/>
      <c r="M55" s="11"/>
      <c r="N55" s="11"/>
      <c r="O55" s="11"/>
      <c r="P55" s="11"/>
      <c r="Q55" s="11"/>
      <c r="R55" s="11"/>
      <c r="S55" s="11"/>
    </row>
    <row r="56" spans="1:19" ht="15.75" customHeight="1" x14ac:dyDescent="0.3">
      <c r="A56" s="2" t="s">
        <v>18</v>
      </c>
      <c r="B56" s="203" t="s">
        <v>19</v>
      </c>
      <c r="C56" s="199"/>
      <c r="D56" s="199"/>
      <c r="E56" s="199"/>
      <c r="F56" s="199"/>
      <c r="G56" s="199"/>
      <c r="H56" s="199"/>
      <c r="I56" s="199"/>
      <c r="J56" s="200"/>
      <c r="K56" s="1"/>
      <c r="L56" s="1"/>
      <c r="M56" s="1"/>
      <c r="N56" s="1"/>
      <c r="O56" s="1"/>
      <c r="P56" s="1"/>
      <c r="Q56" s="1"/>
      <c r="R56" s="1"/>
      <c r="S56" s="1"/>
    </row>
    <row r="57" spans="1:19" ht="15.75" customHeight="1" x14ac:dyDescent="0.3">
      <c r="A57" s="3"/>
      <c r="B57" s="23" t="s">
        <v>90</v>
      </c>
      <c r="C57" s="9">
        <f>SUM(C56)</f>
        <v>0</v>
      </c>
      <c r="D57" s="6"/>
      <c r="E57" s="6"/>
      <c r="F57" s="21"/>
      <c r="G57" s="202" t="s">
        <v>91</v>
      </c>
      <c r="H57" s="199"/>
      <c r="I57" s="200"/>
      <c r="J57" s="9">
        <f>MIN(SUM(J56),C57)</f>
        <v>0</v>
      </c>
      <c r="K57" s="11"/>
      <c r="L57" s="11"/>
      <c r="M57" s="11"/>
      <c r="N57" s="11"/>
      <c r="O57" s="11"/>
      <c r="P57" s="11"/>
      <c r="Q57" s="11"/>
      <c r="R57" s="11"/>
      <c r="S57" s="11"/>
    </row>
    <row r="58" spans="1:19" ht="38.25" customHeight="1" x14ac:dyDescent="0.3">
      <c r="A58" s="3"/>
      <c r="B58" s="27" t="s">
        <v>315</v>
      </c>
      <c r="C58" s="28">
        <f>IF(C56=0,1,J56/C56)</f>
        <v>1</v>
      </c>
      <c r="D58" s="198" t="s">
        <v>93</v>
      </c>
      <c r="E58" s="199"/>
      <c r="F58" s="199"/>
      <c r="G58" s="199"/>
      <c r="H58" s="199"/>
      <c r="I58" s="199"/>
      <c r="J58" s="200"/>
      <c r="K58" s="11"/>
      <c r="L58" s="11"/>
      <c r="M58" s="11"/>
      <c r="N58" s="11"/>
      <c r="O58" s="11"/>
      <c r="P58" s="11"/>
      <c r="Q58" s="11"/>
      <c r="R58" s="11"/>
      <c r="S58" s="11"/>
    </row>
    <row r="59" spans="1:19" ht="15.75" customHeight="1" x14ac:dyDescent="0.3">
      <c r="A59" s="2" t="s">
        <v>20</v>
      </c>
      <c r="B59" s="203" t="s">
        <v>21</v>
      </c>
      <c r="C59" s="199"/>
      <c r="D59" s="199"/>
      <c r="E59" s="199"/>
      <c r="F59" s="199"/>
      <c r="G59" s="199"/>
      <c r="H59" s="199"/>
      <c r="I59" s="199"/>
      <c r="J59" s="200"/>
      <c r="K59" s="11"/>
      <c r="L59" s="11"/>
      <c r="M59" s="11"/>
      <c r="N59" s="11"/>
      <c r="O59" s="11"/>
      <c r="P59" s="11"/>
      <c r="Q59" s="11"/>
      <c r="R59" s="11"/>
      <c r="S59" s="11"/>
    </row>
    <row r="60" spans="1:19" ht="15.75" customHeight="1" x14ac:dyDescent="0.3">
      <c r="A60" s="3"/>
      <c r="B60" s="4"/>
      <c r="C60" s="3"/>
      <c r="D60" s="5"/>
      <c r="E60" s="5"/>
      <c r="F60" s="3"/>
      <c r="G60" s="31"/>
      <c r="H60" s="31"/>
      <c r="I60" s="31"/>
      <c r="J60" s="31"/>
      <c r="K60" s="11"/>
      <c r="L60" s="11"/>
      <c r="M60" s="11"/>
      <c r="N60" s="11"/>
      <c r="O60" s="11"/>
      <c r="P60" s="11"/>
      <c r="Q60" s="11"/>
      <c r="R60" s="11"/>
      <c r="S60" s="11"/>
    </row>
    <row r="61" spans="1:19" ht="15.75" customHeight="1" x14ac:dyDescent="0.3">
      <c r="A61" s="3"/>
      <c r="B61" s="23" t="s">
        <v>243</v>
      </c>
      <c r="C61" s="9">
        <f>SUM(C60)</f>
        <v>0</v>
      </c>
      <c r="D61" s="6"/>
      <c r="E61" s="6"/>
      <c r="F61" s="21"/>
      <c r="G61" s="202" t="s">
        <v>244</v>
      </c>
      <c r="H61" s="199"/>
      <c r="I61" s="200"/>
      <c r="J61" s="9">
        <f>MIN(SUM(J60),C61)</f>
        <v>0</v>
      </c>
      <c r="K61" s="11"/>
      <c r="L61" s="11"/>
      <c r="M61" s="11"/>
      <c r="N61" s="11"/>
      <c r="O61" s="11"/>
      <c r="P61" s="11"/>
      <c r="Q61" s="11"/>
      <c r="R61" s="11"/>
      <c r="S61" s="11"/>
    </row>
    <row r="62" spans="1:19" ht="38.25" customHeight="1" x14ac:dyDescent="0.3">
      <c r="A62" s="3"/>
      <c r="B62" s="27" t="s">
        <v>316</v>
      </c>
      <c r="C62" s="28">
        <f>IF(C60=0,1,J60/C60)</f>
        <v>1</v>
      </c>
      <c r="D62" s="198" t="s">
        <v>246</v>
      </c>
      <c r="E62" s="199"/>
      <c r="F62" s="199"/>
      <c r="G62" s="199"/>
      <c r="H62" s="199"/>
      <c r="I62" s="199"/>
      <c r="J62" s="200"/>
      <c r="K62" s="11"/>
      <c r="L62" s="11"/>
      <c r="M62" s="11"/>
      <c r="N62" s="11"/>
      <c r="O62" s="11"/>
      <c r="P62" s="11"/>
      <c r="Q62" s="11"/>
      <c r="R62" s="11"/>
      <c r="S62" s="11"/>
    </row>
    <row r="63" spans="1:19" ht="38.25" customHeight="1" x14ac:dyDescent="0.3">
      <c r="A63" s="89"/>
      <c r="B63" s="90"/>
      <c r="C63" s="91"/>
      <c r="D63" s="92"/>
      <c r="E63" s="92"/>
      <c r="F63" s="92"/>
      <c r="G63" s="92"/>
      <c r="H63" s="92"/>
      <c r="I63" s="92"/>
      <c r="J63" s="92"/>
      <c r="K63" s="11"/>
      <c r="L63" s="11"/>
      <c r="M63" s="11"/>
      <c r="N63" s="11"/>
      <c r="O63" s="11"/>
      <c r="P63" s="11"/>
      <c r="Q63" s="11"/>
      <c r="R63" s="11"/>
      <c r="S63" s="11"/>
    </row>
    <row r="64" spans="1:19" ht="106.5" customHeight="1" x14ac:dyDescent="0.3">
      <c r="A64" s="11"/>
      <c r="B64" s="11"/>
      <c r="C64" s="11"/>
      <c r="D64" s="204" t="s">
        <v>247</v>
      </c>
      <c r="E64" s="194"/>
      <c r="F64" s="194"/>
      <c r="G64" s="194"/>
      <c r="H64" s="194"/>
      <c r="I64" s="194"/>
      <c r="J64" s="194"/>
      <c r="K64" s="11"/>
      <c r="L64" s="11"/>
      <c r="M64" s="11"/>
      <c r="N64" s="11"/>
      <c r="O64" s="11"/>
      <c r="P64" s="11"/>
      <c r="Q64" s="11"/>
      <c r="R64" s="11"/>
      <c r="S64" s="11"/>
    </row>
    <row r="65" spans="1:19" ht="15.75" customHeight="1" x14ac:dyDescent="0.4">
      <c r="A65" s="11"/>
      <c r="B65" s="40" t="s">
        <v>23</v>
      </c>
      <c r="C65" s="40"/>
      <c r="D65" s="41"/>
      <c r="E65" s="41"/>
      <c r="F65" s="42"/>
      <c r="G65" s="42"/>
      <c r="H65" s="42"/>
      <c r="I65" s="42"/>
      <c r="J65" s="42"/>
      <c r="K65" s="11"/>
      <c r="L65" s="11"/>
      <c r="M65" s="11"/>
      <c r="N65" s="11"/>
      <c r="O65" s="11"/>
      <c r="P65" s="11"/>
      <c r="Q65" s="11"/>
      <c r="R65" s="11"/>
      <c r="S65" s="11"/>
    </row>
    <row r="66" spans="1:19" ht="285" customHeight="1" x14ac:dyDescent="0.3">
      <c r="A66" s="11"/>
      <c r="B66" s="197" t="s">
        <v>317</v>
      </c>
      <c r="C66" s="194"/>
      <c r="D66" s="194"/>
      <c r="E66" s="194"/>
      <c r="F66" s="194"/>
      <c r="G66" s="194"/>
      <c r="H66" s="194"/>
      <c r="I66" s="194"/>
      <c r="J66" s="194"/>
      <c r="K66" s="11"/>
      <c r="L66" s="11"/>
      <c r="M66" s="11"/>
      <c r="N66" s="11"/>
      <c r="O66" s="11"/>
      <c r="P66" s="11"/>
      <c r="Q66" s="11"/>
      <c r="R66" s="11"/>
      <c r="S66" s="11"/>
    </row>
    <row r="67" spans="1:19" ht="15.75" customHeight="1" x14ac:dyDescent="0.3">
      <c r="A67" s="11"/>
      <c r="B67" s="11"/>
      <c r="C67" s="11"/>
      <c r="D67" s="43"/>
      <c r="E67" s="43"/>
      <c r="F67" s="11"/>
      <c r="G67" s="11"/>
      <c r="H67" s="11"/>
      <c r="I67" s="11"/>
      <c r="J67" s="11"/>
      <c r="K67" s="11"/>
      <c r="L67" s="11"/>
      <c r="M67" s="11"/>
      <c r="N67" s="11"/>
      <c r="O67" s="11"/>
      <c r="P67" s="11"/>
      <c r="Q67" s="11"/>
      <c r="R67" s="11"/>
      <c r="S67" s="11"/>
    </row>
    <row r="68" spans="1:19" ht="15.75" customHeight="1" x14ac:dyDescent="0.3">
      <c r="A68" s="11"/>
      <c r="B68" s="11"/>
      <c r="C68" s="11"/>
      <c r="D68" s="43"/>
      <c r="E68" s="43"/>
      <c r="F68" s="11"/>
      <c r="G68" s="11"/>
      <c r="H68" s="11"/>
      <c r="I68" s="11"/>
      <c r="J68" s="11"/>
      <c r="K68" s="11"/>
      <c r="L68" s="11"/>
      <c r="M68" s="11"/>
      <c r="N68" s="11"/>
      <c r="O68" s="11"/>
      <c r="P68" s="11"/>
      <c r="Q68" s="11"/>
      <c r="R68" s="11"/>
      <c r="S68" s="11"/>
    </row>
    <row r="69" spans="1:19" ht="15.75" customHeight="1" x14ac:dyDescent="0.3">
      <c r="A69" s="11"/>
      <c r="B69" s="11"/>
      <c r="C69" s="11"/>
      <c r="D69" s="43"/>
      <c r="E69" s="43"/>
      <c r="F69" s="11"/>
      <c r="G69" s="11"/>
      <c r="H69" s="11"/>
      <c r="I69" s="11"/>
      <c r="J69" s="11"/>
      <c r="K69" s="11"/>
      <c r="L69" s="11"/>
      <c r="M69" s="11"/>
      <c r="N69" s="11"/>
      <c r="O69" s="11"/>
      <c r="P69" s="11"/>
      <c r="Q69" s="11"/>
      <c r="R69" s="11"/>
      <c r="S69" s="11"/>
    </row>
    <row r="70" spans="1:19" ht="15.75" customHeight="1" x14ac:dyDescent="0.3">
      <c r="A70" s="11"/>
      <c r="B70" s="11"/>
      <c r="C70" s="11"/>
      <c r="D70" s="43"/>
      <c r="E70" s="43"/>
      <c r="F70" s="11"/>
      <c r="G70" s="11"/>
      <c r="H70" s="11"/>
      <c r="I70" s="11"/>
      <c r="J70" s="11"/>
      <c r="K70" s="11"/>
      <c r="L70" s="11"/>
      <c r="M70" s="11"/>
      <c r="N70" s="11"/>
      <c r="O70" s="11"/>
      <c r="P70" s="11"/>
      <c r="Q70" s="11"/>
      <c r="R70" s="11"/>
      <c r="S70" s="11"/>
    </row>
    <row r="71" spans="1:19" ht="15.75" customHeight="1" x14ac:dyDescent="0.3">
      <c r="A71" s="11"/>
      <c r="B71" s="11"/>
      <c r="C71" s="11"/>
      <c r="D71" s="43"/>
      <c r="E71" s="43"/>
      <c r="F71" s="11"/>
      <c r="G71" s="11"/>
      <c r="H71" s="11"/>
      <c r="I71" s="11"/>
      <c r="J71" s="11"/>
      <c r="K71" s="11"/>
      <c r="L71" s="11"/>
      <c r="M71" s="11"/>
      <c r="N71" s="11"/>
      <c r="O71" s="11"/>
      <c r="P71" s="11"/>
      <c r="Q71" s="11"/>
      <c r="R71" s="11"/>
      <c r="S71" s="11"/>
    </row>
    <row r="72" spans="1:19" ht="15.75" customHeight="1" x14ac:dyDescent="0.3">
      <c r="A72" s="11"/>
      <c r="B72" s="11"/>
      <c r="C72" s="11"/>
      <c r="D72" s="43"/>
      <c r="E72" s="43"/>
      <c r="F72" s="11"/>
      <c r="G72" s="11"/>
      <c r="H72" s="11"/>
      <c r="I72" s="11"/>
      <c r="J72" s="11"/>
      <c r="K72" s="11"/>
      <c r="L72" s="11"/>
      <c r="M72" s="11"/>
      <c r="N72" s="11"/>
      <c r="O72" s="11"/>
      <c r="P72" s="11"/>
      <c r="Q72" s="11"/>
      <c r="R72" s="11"/>
      <c r="S72" s="11"/>
    </row>
    <row r="73" spans="1:19" ht="15.75" customHeight="1" x14ac:dyDescent="0.3">
      <c r="A73" s="11"/>
      <c r="B73" s="11"/>
      <c r="C73" s="11"/>
      <c r="D73" s="43"/>
      <c r="E73" s="43"/>
      <c r="F73" s="11"/>
      <c r="G73" s="11"/>
      <c r="H73" s="11"/>
      <c r="I73" s="11"/>
      <c r="J73" s="11"/>
      <c r="K73" s="11"/>
      <c r="L73" s="11"/>
      <c r="M73" s="11"/>
      <c r="N73" s="11"/>
      <c r="O73" s="11"/>
      <c r="P73" s="11"/>
      <c r="Q73" s="11"/>
      <c r="R73" s="11"/>
      <c r="S73" s="11"/>
    </row>
    <row r="74" spans="1:19" ht="15.75" customHeight="1" x14ac:dyDescent="0.3">
      <c r="A74" s="11"/>
      <c r="B74" s="11"/>
      <c r="C74" s="11"/>
      <c r="D74" s="43"/>
      <c r="E74" s="43"/>
      <c r="F74" s="11"/>
      <c r="G74" s="11"/>
      <c r="H74" s="11"/>
      <c r="I74" s="11"/>
      <c r="J74" s="11"/>
      <c r="K74" s="11"/>
      <c r="L74" s="11"/>
      <c r="M74" s="11"/>
      <c r="N74" s="11"/>
      <c r="O74" s="11"/>
      <c r="P74" s="11"/>
      <c r="Q74" s="11"/>
      <c r="R74" s="11"/>
      <c r="S74" s="11"/>
    </row>
    <row r="75" spans="1:19" ht="15.75" customHeight="1" x14ac:dyDescent="0.3">
      <c r="A75" s="11"/>
      <c r="B75" s="11"/>
      <c r="C75" s="11"/>
      <c r="D75" s="43"/>
      <c r="E75" s="43"/>
      <c r="F75" s="11"/>
      <c r="G75" s="11"/>
      <c r="H75" s="11"/>
      <c r="I75" s="11"/>
      <c r="J75" s="11"/>
      <c r="K75" s="11"/>
      <c r="L75" s="11"/>
      <c r="M75" s="11"/>
      <c r="N75" s="11"/>
      <c r="O75" s="11"/>
      <c r="P75" s="11"/>
      <c r="Q75" s="11"/>
      <c r="R75" s="11"/>
      <c r="S75" s="11"/>
    </row>
    <row r="76" spans="1:19" ht="15.75" customHeight="1" x14ac:dyDescent="0.3">
      <c r="A76" s="11"/>
      <c r="B76" s="11"/>
      <c r="C76" s="11"/>
      <c r="D76" s="43"/>
      <c r="E76" s="43"/>
      <c r="F76" s="11"/>
      <c r="G76" s="11"/>
      <c r="H76" s="11"/>
      <c r="I76" s="11"/>
      <c r="J76" s="11"/>
      <c r="K76" s="11"/>
      <c r="L76" s="11"/>
      <c r="M76" s="11"/>
      <c r="N76" s="11"/>
      <c r="O76" s="11"/>
      <c r="P76" s="11"/>
      <c r="Q76" s="11"/>
      <c r="R76" s="11"/>
      <c r="S76" s="11"/>
    </row>
    <row r="77" spans="1:19" ht="15.75" customHeight="1" x14ac:dyDescent="0.3">
      <c r="A77" s="11"/>
      <c r="B77" s="11"/>
      <c r="C77" s="11"/>
      <c r="D77" s="43"/>
      <c r="E77" s="43"/>
      <c r="F77" s="11"/>
      <c r="G77" s="11"/>
      <c r="H77" s="11"/>
      <c r="I77" s="11"/>
      <c r="J77" s="11"/>
      <c r="K77" s="11"/>
      <c r="L77" s="11"/>
      <c r="M77" s="11"/>
      <c r="N77" s="11"/>
      <c r="O77" s="11"/>
      <c r="P77" s="11"/>
      <c r="Q77" s="11"/>
      <c r="R77" s="11"/>
      <c r="S77" s="11"/>
    </row>
    <row r="78" spans="1:19" ht="15.75" customHeight="1" x14ac:dyDescent="0.3">
      <c r="A78" s="11"/>
      <c r="B78" s="11"/>
      <c r="C78" s="11"/>
      <c r="D78" s="43"/>
      <c r="E78" s="43"/>
      <c r="F78" s="11"/>
      <c r="G78" s="11"/>
      <c r="H78" s="11"/>
      <c r="I78" s="11"/>
      <c r="J78" s="11"/>
      <c r="K78" s="11"/>
      <c r="L78" s="11"/>
      <c r="M78" s="11"/>
      <c r="N78" s="11"/>
      <c r="O78" s="11"/>
      <c r="P78" s="11"/>
      <c r="Q78" s="11"/>
      <c r="R78" s="11"/>
      <c r="S78" s="11"/>
    </row>
    <row r="79" spans="1:19" ht="15.75" customHeight="1" x14ac:dyDescent="0.3">
      <c r="A79" s="11"/>
      <c r="B79" s="11"/>
      <c r="C79" s="11"/>
      <c r="D79" s="43"/>
      <c r="E79" s="43"/>
      <c r="F79" s="11"/>
      <c r="G79" s="11"/>
      <c r="H79" s="11"/>
      <c r="I79" s="11"/>
      <c r="J79" s="11"/>
      <c r="K79" s="11"/>
      <c r="L79" s="11"/>
      <c r="M79" s="11"/>
      <c r="N79" s="11"/>
      <c r="O79" s="11"/>
      <c r="P79" s="11"/>
      <c r="Q79" s="11"/>
      <c r="R79" s="11"/>
      <c r="S79" s="11"/>
    </row>
    <row r="80" spans="1:19" ht="15.75" customHeight="1" x14ac:dyDescent="0.3">
      <c r="A80" s="11"/>
      <c r="B80" s="11"/>
      <c r="C80" s="11"/>
      <c r="D80" s="43"/>
      <c r="E80" s="43"/>
      <c r="F80" s="11"/>
      <c r="G80" s="11"/>
      <c r="H80" s="11"/>
      <c r="I80" s="11"/>
      <c r="J80" s="11"/>
      <c r="K80" s="11"/>
      <c r="L80" s="11"/>
      <c r="M80" s="11"/>
      <c r="N80" s="11"/>
      <c r="O80" s="11"/>
      <c r="P80" s="11"/>
      <c r="Q80" s="11"/>
      <c r="R80" s="11"/>
      <c r="S80" s="11"/>
    </row>
    <row r="81" spans="1:19" ht="15.75" customHeight="1" x14ac:dyDescent="0.3">
      <c r="A81" s="11"/>
      <c r="B81" s="11"/>
      <c r="C81" s="11"/>
      <c r="D81" s="43"/>
      <c r="E81" s="43"/>
      <c r="F81" s="11"/>
      <c r="G81" s="11"/>
      <c r="H81" s="11"/>
      <c r="I81" s="11"/>
      <c r="J81" s="11"/>
      <c r="K81" s="11"/>
      <c r="L81" s="11"/>
      <c r="M81" s="11"/>
      <c r="N81" s="11"/>
      <c r="O81" s="11"/>
      <c r="P81" s="11"/>
      <c r="Q81" s="11"/>
      <c r="R81" s="11"/>
      <c r="S81" s="11"/>
    </row>
    <row r="82" spans="1:19" ht="15.75" customHeight="1" x14ac:dyDescent="0.3">
      <c r="A82" s="11"/>
      <c r="B82" s="11"/>
      <c r="C82" s="11"/>
      <c r="D82" s="43"/>
      <c r="E82" s="43"/>
      <c r="F82" s="11"/>
      <c r="G82" s="11"/>
      <c r="H82" s="11"/>
      <c r="I82" s="11"/>
      <c r="J82" s="11"/>
      <c r="K82" s="11"/>
      <c r="L82" s="11"/>
      <c r="M82" s="11"/>
      <c r="N82" s="11"/>
      <c r="O82" s="11"/>
      <c r="P82" s="11"/>
      <c r="Q82" s="11"/>
      <c r="R82" s="11"/>
      <c r="S82" s="11"/>
    </row>
    <row r="83" spans="1:19" ht="15.75" customHeight="1" x14ac:dyDescent="0.3">
      <c r="A83" s="11"/>
      <c r="B83" s="11"/>
      <c r="C83" s="11"/>
      <c r="D83" s="43"/>
      <c r="E83" s="43"/>
      <c r="F83" s="11"/>
      <c r="G83" s="11"/>
      <c r="H83" s="11"/>
      <c r="I83" s="11"/>
      <c r="J83" s="11"/>
      <c r="K83" s="11"/>
      <c r="L83" s="11"/>
      <c r="M83" s="11"/>
      <c r="N83" s="11"/>
      <c r="O83" s="11"/>
      <c r="P83" s="11"/>
      <c r="Q83" s="11"/>
      <c r="R83" s="11"/>
      <c r="S83" s="11"/>
    </row>
    <row r="84" spans="1:19" ht="15.75" customHeight="1" x14ac:dyDescent="0.3">
      <c r="A84" s="11"/>
      <c r="B84" s="11"/>
      <c r="C84" s="11"/>
      <c r="D84" s="43"/>
      <c r="E84" s="43"/>
      <c r="F84" s="11"/>
      <c r="G84" s="11"/>
      <c r="H84" s="11"/>
      <c r="I84" s="11"/>
      <c r="J84" s="11"/>
      <c r="K84" s="11"/>
      <c r="L84" s="11"/>
      <c r="M84" s="11"/>
      <c r="N84" s="11"/>
      <c r="O84" s="11"/>
      <c r="P84" s="11"/>
      <c r="Q84" s="11"/>
      <c r="R84" s="11"/>
      <c r="S84" s="11"/>
    </row>
    <row r="85" spans="1:19" ht="15.75" customHeight="1" x14ac:dyDescent="0.3">
      <c r="A85" s="11"/>
      <c r="B85" s="11"/>
      <c r="C85" s="11"/>
      <c r="D85" s="43"/>
      <c r="E85" s="43"/>
      <c r="F85" s="11"/>
      <c r="G85" s="11"/>
      <c r="H85" s="11"/>
      <c r="I85" s="11"/>
      <c r="J85" s="11"/>
      <c r="K85" s="11"/>
      <c r="L85" s="11"/>
      <c r="M85" s="11"/>
      <c r="N85" s="11"/>
      <c r="O85" s="11"/>
      <c r="P85" s="11"/>
      <c r="Q85" s="11"/>
      <c r="R85" s="11"/>
      <c r="S85" s="11"/>
    </row>
    <row r="86" spans="1:19" ht="15.75" customHeight="1" x14ac:dyDescent="0.3">
      <c r="A86" s="11"/>
      <c r="B86" s="11"/>
      <c r="C86" s="11"/>
      <c r="D86" s="43"/>
      <c r="E86" s="43"/>
      <c r="F86" s="11"/>
      <c r="G86" s="11"/>
      <c r="H86" s="11"/>
      <c r="I86" s="11"/>
      <c r="J86" s="11"/>
      <c r="K86" s="11"/>
      <c r="L86" s="11"/>
      <c r="M86" s="11"/>
      <c r="N86" s="11"/>
      <c r="O86" s="11"/>
      <c r="P86" s="11"/>
      <c r="Q86" s="11"/>
      <c r="R86" s="11"/>
      <c r="S86" s="11"/>
    </row>
    <row r="87" spans="1:19" ht="15.75" customHeight="1" x14ac:dyDescent="0.3">
      <c r="A87" s="11"/>
      <c r="B87" s="11"/>
      <c r="C87" s="11"/>
      <c r="D87" s="43"/>
      <c r="E87" s="43"/>
      <c r="F87" s="11"/>
      <c r="G87" s="11"/>
      <c r="H87" s="11"/>
      <c r="I87" s="11"/>
      <c r="J87" s="11"/>
      <c r="K87" s="11"/>
      <c r="L87" s="11"/>
      <c r="M87" s="11"/>
      <c r="N87" s="11"/>
      <c r="O87" s="11"/>
      <c r="P87" s="11"/>
      <c r="Q87" s="11"/>
      <c r="R87" s="11"/>
      <c r="S87" s="11"/>
    </row>
    <row r="88" spans="1:19" ht="15.75" customHeight="1" x14ac:dyDescent="0.3">
      <c r="A88" s="11"/>
      <c r="B88" s="11"/>
      <c r="C88" s="11"/>
      <c r="D88" s="43"/>
      <c r="E88" s="43"/>
      <c r="F88" s="11"/>
      <c r="G88" s="11"/>
      <c r="H88" s="11"/>
      <c r="I88" s="11"/>
      <c r="J88" s="11"/>
      <c r="K88" s="11"/>
      <c r="L88" s="11"/>
      <c r="M88" s="11"/>
      <c r="N88" s="11"/>
      <c r="O88" s="11"/>
      <c r="P88" s="11"/>
      <c r="Q88" s="11"/>
      <c r="R88" s="11"/>
      <c r="S88" s="11"/>
    </row>
    <row r="89" spans="1:19" ht="15.75" customHeight="1" x14ac:dyDescent="0.3">
      <c r="A89" s="11"/>
      <c r="B89" s="11"/>
      <c r="C89" s="11"/>
      <c r="D89" s="43"/>
      <c r="E89" s="43"/>
      <c r="F89" s="11"/>
      <c r="G89" s="11"/>
      <c r="H89" s="11"/>
      <c r="I89" s="11"/>
      <c r="J89" s="11"/>
      <c r="K89" s="11"/>
      <c r="L89" s="11"/>
      <c r="M89" s="11"/>
      <c r="N89" s="11"/>
      <c r="O89" s="11"/>
      <c r="P89" s="11"/>
      <c r="Q89" s="11"/>
      <c r="R89" s="11"/>
      <c r="S89" s="11"/>
    </row>
    <row r="90" spans="1:19" ht="15.75" customHeight="1" x14ac:dyDescent="0.3">
      <c r="A90" s="11"/>
      <c r="B90" s="11"/>
      <c r="C90" s="11"/>
      <c r="D90" s="43"/>
      <c r="E90" s="43"/>
      <c r="F90" s="11"/>
      <c r="G90" s="11"/>
      <c r="H90" s="11"/>
      <c r="I90" s="11"/>
      <c r="J90" s="11"/>
      <c r="K90" s="11"/>
      <c r="L90" s="11"/>
      <c r="M90" s="11"/>
      <c r="N90" s="11"/>
      <c r="O90" s="11"/>
      <c r="P90" s="11"/>
      <c r="Q90" s="11"/>
      <c r="R90" s="11"/>
      <c r="S90" s="11"/>
    </row>
    <row r="91" spans="1:19" ht="15.75" customHeight="1" x14ac:dyDescent="0.3">
      <c r="A91" s="11"/>
      <c r="B91" s="11"/>
      <c r="C91" s="11"/>
      <c r="D91" s="43"/>
      <c r="E91" s="43"/>
      <c r="F91" s="11"/>
      <c r="G91" s="11"/>
      <c r="H91" s="11"/>
      <c r="I91" s="11"/>
      <c r="J91" s="11"/>
      <c r="K91" s="11"/>
      <c r="L91" s="11"/>
      <c r="M91" s="11"/>
      <c r="N91" s="11"/>
      <c r="O91" s="11"/>
      <c r="P91" s="11"/>
      <c r="Q91" s="11"/>
      <c r="R91" s="11"/>
      <c r="S91" s="11"/>
    </row>
    <row r="92" spans="1:19" ht="15.75" customHeight="1" x14ac:dyDescent="0.3">
      <c r="A92" s="11"/>
      <c r="B92" s="11"/>
      <c r="C92" s="11"/>
      <c r="D92" s="43"/>
      <c r="E92" s="43"/>
      <c r="F92" s="11"/>
      <c r="G92" s="11"/>
      <c r="H92" s="11"/>
      <c r="I92" s="11"/>
      <c r="J92" s="11"/>
      <c r="K92" s="11"/>
      <c r="L92" s="11"/>
      <c r="M92" s="11"/>
      <c r="N92" s="11"/>
      <c r="O92" s="11"/>
      <c r="P92" s="11"/>
      <c r="Q92" s="11"/>
      <c r="R92" s="11"/>
      <c r="S92" s="11"/>
    </row>
    <row r="93" spans="1:19" ht="15.75" customHeight="1" x14ac:dyDescent="0.3">
      <c r="A93" s="11"/>
      <c r="B93" s="11"/>
      <c r="C93" s="11"/>
      <c r="D93" s="43"/>
      <c r="E93" s="43"/>
      <c r="F93" s="11"/>
      <c r="G93" s="11"/>
      <c r="H93" s="11"/>
      <c r="I93" s="11"/>
      <c r="J93" s="11"/>
      <c r="K93" s="11"/>
      <c r="L93" s="11"/>
      <c r="M93" s="11"/>
      <c r="N93" s="11"/>
      <c r="O93" s="11"/>
      <c r="P93" s="11"/>
      <c r="Q93" s="11"/>
      <c r="R93" s="11"/>
      <c r="S93" s="11"/>
    </row>
    <row r="94" spans="1:19" ht="15.75" customHeight="1" x14ac:dyDescent="0.3">
      <c r="A94" s="11"/>
      <c r="B94" s="11"/>
      <c r="C94" s="11"/>
      <c r="D94" s="43"/>
      <c r="E94" s="43"/>
      <c r="F94" s="11"/>
      <c r="G94" s="11"/>
      <c r="H94" s="11"/>
      <c r="I94" s="11"/>
      <c r="J94" s="11"/>
      <c r="K94" s="11"/>
      <c r="L94" s="11"/>
      <c r="M94" s="11"/>
      <c r="N94" s="11"/>
      <c r="O94" s="11"/>
      <c r="P94" s="11"/>
      <c r="Q94" s="11"/>
      <c r="R94" s="11"/>
      <c r="S94" s="11"/>
    </row>
    <row r="95" spans="1:19" ht="15.75" customHeight="1" x14ac:dyDescent="0.3">
      <c r="A95" s="11"/>
      <c r="B95" s="11"/>
      <c r="C95" s="11"/>
      <c r="D95" s="43"/>
      <c r="E95" s="43"/>
      <c r="F95" s="11"/>
      <c r="G95" s="11"/>
      <c r="H95" s="11"/>
      <c r="I95" s="11"/>
      <c r="J95" s="11"/>
      <c r="K95" s="11"/>
      <c r="L95" s="11"/>
      <c r="M95" s="11"/>
      <c r="N95" s="11"/>
      <c r="O95" s="11"/>
      <c r="P95" s="11"/>
      <c r="Q95" s="11"/>
      <c r="R95" s="11"/>
      <c r="S95" s="11"/>
    </row>
    <row r="96" spans="1:19" ht="15.75" customHeight="1" x14ac:dyDescent="0.3">
      <c r="A96" s="11"/>
      <c r="B96" s="11"/>
      <c r="C96" s="11"/>
      <c r="D96" s="43"/>
      <c r="E96" s="43"/>
      <c r="F96" s="11"/>
      <c r="G96" s="11"/>
      <c r="H96" s="11"/>
      <c r="I96" s="11"/>
      <c r="J96" s="11"/>
      <c r="K96" s="11"/>
      <c r="L96" s="11"/>
      <c r="M96" s="11"/>
      <c r="N96" s="11"/>
      <c r="O96" s="11"/>
      <c r="P96" s="11"/>
      <c r="Q96" s="11"/>
      <c r="R96" s="11"/>
      <c r="S96" s="11"/>
    </row>
    <row r="97" spans="1:19" ht="15.75" customHeight="1" x14ac:dyDescent="0.3">
      <c r="A97" s="11"/>
      <c r="B97" s="11"/>
      <c r="C97" s="11"/>
      <c r="D97" s="43"/>
      <c r="E97" s="43"/>
      <c r="F97" s="11"/>
      <c r="G97" s="11"/>
      <c r="H97" s="11"/>
      <c r="I97" s="11"/>
      <c r="J97" s="11"/>
      <c r="K97" s="11"/>
      <c r="L97" s="11"/>
      <c r="M97" s="11"/>
      <c r="N97" s="11"/>
      <c r="O97" s="11"/>
      <c r="P97" s="11"/>
      <c r="Q97" s="11"/>
      <c r="R97" s="11"/>
      <c r="S97" s="11"/>
    </row>
    <row r="98" spans="1:19" ht="15.75" customHeight="1" x14ac:dyDescent="0.3">
      <c r="A98" s="11"/>
      <c r="B98" s="11"/>
      <c r="C98" s="11"/>
      <c r="D98" s="43"/>
      <c r="E98" s="43"/>
      <c r="F98" s="11"/>
      <c r="G98" s="11"/>
      <c r="H98" s="11"/>
      <c r="I98" s="11"/>
      <c r="J98" s="11"/>
      <c r="K98" s="11"/>
      <c r="L98" s="11"/>
      <c r="M98" s="11"/>
      <c r="N98" s="11"/>
      <c r="O98" s="11"/>
      <c r="P98" s="11"/>
      <c r="Q98" s="11"/>
      <c r="R98" s="11"/>
      <c r="S98" s="11"/>
    </row>
    <row r="99" spans="1:19" ht="15.75" customHeight="1" x14ac:dyDescent="0.3">
      <c r="A99" s="11"/>
      <c r="B99" s="11"/>
      <c r="C99" s="11"/>
      <c r="D99" s="43"/>
      <c r="E99" s="43"/>
      <c r="F99" s="11"/>
      <c r="G99" s="11"/>
      <c r="H99" s="11"/>
      <c r="I99" s="11"/>
      <c r="J99" s="11"/>
      <c r="K99" s="11"/>
      <c r="L99" s="11"/>
      <c r="M99" s="11"/>
      <c r="N99" s="11"/>
      <c r="O99" s="11"/>
      <c r="P99" s="11"/>
      <c r="Q99" s="11"/>
      <c r="R99" s="11"/>
      <c r="S99" s="11"/>
    </row>
    <row r="100" spans="1:19" ht="15.75" customHeight="1" x14ac:dyDescent="0.3">
      <c r="A100" s="11"/>
      <c r="B100" s="11"/>
      <c r="C100" s="11"/>
      <c r="D100" s="43"/>
      <c r="E100" s="43"/>
      <c r="F100" s="11"/>
      <c r="G100" s="11"/>
      <c r="H100" s="11"/>
      <c r="I100" s="11"/>
      <c r="J100" s="11"/>
      <c r="K100" s="11"/>
      <c r="L100" s="11"/>
      <c r="M100" s="11"/>
      <c r="N100" s="11"/>
      <c r="O100" s="11"/>
      <c r="P100" s="11"/>
      <c r="Q100" s="11"/>
      <c r="R100" s="11"/>
      <c r="S100" s="11"/>
    </row>
    <row r="101" spans="1:19" ht="15.75" customHeight="1" x14ac:dyDescent="0.3">
      <c r="A101" s="11"/>
      <c r="B101" s="11"/>
      <c r="C101" s="11"/>
      <c r="D101" s="43"/>
      <c r="E101" s="43"/>
      <c r="F101" s="11"/>
      <c r="G101" s="11"/>
      <c r="H101" s="11"/>
      <c r="I101" s="11"/>
      <c r="J101" s="11"/>
      <c r="K101" s="11"/>
      <c r="L101" s="11"/>
      <c r="M101" s="11"/>
      <c r="N101" s="11"/>
      <c r="O101" s="11"/>
      <c r="P101" s="11"/>
      <c r="Q101" s="11"/>
      <c r="R101" s="11"/>
      <c r="S101" s="11"/>
    </row>
    <row r="102" spans="1:19" ht="15.75" customHeight="1" x14ac:dyDescent="0.3">
      <c r="A102" s="11"/>
      <c r="B102" s="11"/>
      <c r="C102" s="11"/>
      <c r="D102" s="43"/>
      <c r="E102" s="43"/>
      <c r="F102" s="11"/>
      <c r="G102" s="11"/>
      <c r="H102" s="11"/>
      <c r="I102" s="11"/>
      <c r="J102" s="11"/>
      <c r="K102" s="11"/>
      <c r="L102" s="11"/>
      <c r="M102" s="11"/>
      <c r="N102" s="11"/>
      <c r="O102" s="11"/>
      <c r="P102" s="11"/>
      <c r="Q102" s="11"/>
      <c r="R102" s="11"/>
      <c r="S102" s="11"/>
    </row>
    <row r="103" spans="1:19" ht="15.75" customHeight="1" x14ac:dyDescent="0.3">
      <c r="A103" s="11"/>
      <c r="B103" s="11"/>
      <c r="C103" s="11"/>
      <c r="D103" s="43"/>
      <c r="E103" s="43"/>
      <c r="F103" s="11"/>
      <c r="G103" s="11"/>
      <c r="H103" s="11"/>
      <c r="I103" s="11"/>
      <c r="J103" s="11"/>
      <c r="K103" s="11"/>
      <c r="L103" s="11"/>
      <c r="M103" s="11"/>
      <c r="N103" s="11"/>
      <c r="O103" s="11"/>
      <c r="P103" s="11"/>
      <c r="Q103" s="11"/>
      <c r="R103" s="11"/>
      <c r="S103" s="11"/>
    </row>
    <row r="104" spans="1:19" ht="15.75" customHeight="1" x14ac:dyDescent="0.3">
      <c r="A104" s="11"/>
      <c r="B104" s="11"/>
      <c r="C104" s="11"/>
      <c r="D104" s="43"/>
      <c r="E104" s="43"/>
      <c r="F104" s="11"/>
      <c r="G104" s="11"/>
      <c r="H104" s="11"/>
      <c r="I104" s="11"/>
      <c r="J104" s="11"/>
      <c r="K104" s="11"/>
      <c r="L104" s="11"/>
      <c r="M104" s="11"/>
      <c r="N104" s="11"/>
      <c r="O104" s="11"/>
      <c r="P104" s="11"/>
      <c r="Q104" s="11"/>
      <c r="R104" s="11"/>
      <c r="S104" s="11"/>
    </row>
    <row r="105" spans="1:19" ht="15.75" customHeight="1" x14ac:dyDescent="0.3">
      <c r="A105" s="11"/>
      <c r="B105" s="11"/>
      <c r="C105" s="11"/>
      <c r="D105" s="43"/>
      <c r="E105" s="43"/>
      <c r="F105" s="11"/>
      <c r="G105" s="11"/>
      <c r="H105" s="11"/>
      <c r="I105" s="11"/>
      <c r="J105" s="11"/>
      <c r="K105" s="11"/>
      <c r="L105" s="11"/>
      <c r="M105" s="11"/>
      <c r="N105" s="11"/>
      <c r="O105" s="11"/>
      <c r="P105" s="11"/>
      <c r="Q105" s="11"/>
      <c r="R105" s="11"/>
      <c r="S105" s="11"/>
    </row>
    <row r="106" spans="1:19" ht="15.75" customHeight="1" x14ac:dyDescent="0.3">
      <c r="A106" s="11"/>
      <c r="B106" s="11"/>
      <c r="C106" s="11"/>
      <c r="D106" s="43"/>
      <c r="E106" s="43"/>
      <c r="F106" s="11"/>
      <c r="G106" s="11"/>
      <c r="H106" s="11"/>
      <c r="I106" s="11"/>
      <c r="J106" s="11"/>
      <c r="K106" s="11"/>
      <c r="L106" s="11"/>
      <c r="M106" s="11"/>
      <c r="N106" s="11"/>
      <c r="O106" s="11"/>
      <c r="P106" s="11"/>
      <c r="Q106" s="11"/>
      <c r="R106" s="11"/>
      <c r="S106" s="11"/>
    </row>
    <row r="107" spans="1:19" ht="15.75" customHeight="1" x14ac:dyDescent="0.3">
      <c r="A107" s="11"/>
      <c r="B107" s="11"/>
      <c r="C107" s="11"/>
      <c r="D107" s="43"/>
      <c r="E107" s="43"/>
      <c r="F107" s="11"/>
      <c r="G107" s="11"/>
      <c r="H107" s="11"/>
      <c r="I107" s="11"/>
      <c r="J107" s="11"/>
      <c r="K107" s="11"/>
      <c r="L107" s="11"/>
      <c r="M107" s="11"/>
      <c r="N107" s="11"/>
      <c r="O107" s="11"/>
      <c r="P107" s="11"/>
      <c r="Q107" s="11"/>
      <c r="R107" s="11"/>
      <c r="S107" s="11"/>
    </row>
    <row r="108" spans="1:19" ht="15.75" customHeight="1" x14ac:dyDescent="0.3">
      <c r="A108" s="11"/>
      <c r="B108" s="11"/>
      <c r="C108" s="11"/>
      <c r="D108" s="43"/>
      <c r="E108" s="43"/>
      <c r="F108" s="11"/>
      <c r="G108" s="11"/>
      <c r="H108" s="11"/>
      <c r="I108" s="11"/>
      <c r="J108" s="11"/>
      <c r="K108" s="11"/>
      <c r="L108" s="11"/>
      <c r="M108" s="11"/>
      <c r="N108" s="11"/>
      <c r="O108" s="11"/>
      <c r="P108" s="11"/>
      <c r="Q108" s="11"/>
      <c r="R108" s="11"/>
      <c r="S108" s="11"/>
    </row>
    <row r="109" spans="1:19" ht="15.75" customHeight="1" x14ac:dyDescent="0.3">
      <c r="A109" s="11"/>
      <c r="B109" s="11"/>
      <c r="C109" s="11"/>
      <c r="D109" s="43"/>
      <c r="E109" s="43"/>
      <c r="F109" s="11"/>
      <c r="G109" s="11"/>
      <c r="H109" s="11"/>
      <c r="I109" s="11"/>
      <c r="J109" s="11"/>
      <c r="K109" s="11"/>
      <c r="L109" s="11"/>
      <c r="M109" s="11"/>
      <c r="N109" s="11"/>
      <c r="O109" s="11"/>
      <c r="P109" s="11"/>
      <c r="Q109" s="11"/>
      <c r="R109" s="11"/>
      <c r="S109" s="11"/>
    </row>
    <row r="110" spans="1:19" ht="15.75" customHeight="1" x14ac:dyDescent="0.3">
      <c r="A110" s="11"/>
      <c r="B110" s="11"/>
      <c r="C110" s="11"/>
      <c r="D110" s="43"/>
      <c r="E110" s="43"/>
      <c r="F110" s="11"/>
      <c r="G110" s="11"/>
      <c r="H110" s="11"/>
      <c r="I110" s="11"/>
      <c r="J110" s="11"/>
      <c r="K110" s="11"/>
      <c r="L110" s="11"/>
      <c r="M110" s="11"/>
      <c r="N110" s="11"/>
      <c r="O110" s="11"/>
      <c r="P110" s="11"/>
      <c r="Q110" s="11"/>
      <c r="R110" s="11"/>
      <c r="S110" s="11"/>
    </row>
    <row r="111" spans="1:19" ht="15.75" customHeight="1" x14ac:dyDescent="0.3">
      <c r="A111" s="11"/>
      <c r="B111" s="11"/>
      <c r="C111" s="11"/>
      <c r="D111" s="43"/>
      <c r="E111" s="43"/>
      <c r="F111" s="11"/>
      <c r="G111" s="11"/>
      <c r="H111" s="11"/>
      <c r="I111" s="11"/>
      <c r="J111" s="11"/>
      <c r="K111" s="11"/>
      <c r="L111" s="11"/>
      <c r="M111" s="11"/>
      <c r="N111" s="11"/>
      <c r="O111" s="11"/>
      <c r="P111" s="11"/>
      <c r="Q111" s="11"/>
      <c r="R111" s="11"/>
      <c r="S111" s="11"/>
    </row>
    <row r="112" spans="1:19" ht="15.75" customHeight="1" x14ac:dyDescent="0.3">
      <c r="A112" s="11"/>
      <c r="B112" s="11"/>
      <c r="C112" s="11"/>
      <c r="D112" s="43"/>
      <c r="E112" s="43"/>
      <c r="F112" s="11"/>
      <c r="G112" s="11"/>
      <c r="H112" s="11"/>
      <c r="I112" s="11"/>
      <c r="J112" s="11"/>
      <c r="K112" s="11"/>
      <c r="L112" s="11"/>
      <c r="M112" s="11"/>
      <c r="N112" s="11"/>
      <c r="O112" s="11"/>
      <c r="P112" s="11"/>
      <c r="Q112" s="11"/>
      <c r="R112" s="11"/>
      <c r="S112" s="11"/>
    </row>
    <row r="113" spans="1:19" ht="15.75" customHeight="1" x14ac:dyDescent="0.3">
      <c r="A113" s="11"/>
      <c r="B113" s="11"/>
      <c r="C113" s="11"/>
      <c r="D113" s="43"/>
      <c r="E113" s="43"/>
      <c r="F113" s="11"/>
      <c r="G113" s="11"/>
      <c r="H113" s="11"/>
      <c r="I113" s="11"/>
      <c r="J113" s="11"/>
      <c r="K113" s="11"/>
      <c r="L113" s="11"/>
      <c r="M113" s="11"/>
      <c r="N113" s="11"/>
      <c r="O113" s="11"/>
      <c r="P113" s="11"/>
      <c r="Q113" s="11"/>
      <c r="R113" s="11"/>
      <c r="S113" s="11"/>
    </row>
    <row r="114" spans="1:19" ht="15.75" customHeight="1" x14ac:dyDescent="0.3">
      <c r="A114" s="11"/>
      <c r="B114" s="11"/>
      <c r="C114" s="11"/>
      <c r="D114" s="43"/>
      <c r="E114" s="43"/>
      <c r="F114" s="11"/>
      <c r="G114" s="11"/>
      <c r="H114" s="11"/>
      <c r="I114" s="11"/>
      <c r="J114" s="11"/>
      <c r="K114" s="11"/>
      <c r="L114" s="11"/>
      <c r="M114" s="11"/>
      <c r="N114" s="11"/>
      <c r="O114" s="11"/>
      <c r="P114" s="11"/>
      <c r="Q114" s="11"/>
      <c r="R114" s="11"/>
      <c r="S114" s="11"/>
    </row>
    <row r="115" spans="1:19" ht="15.75" customHeight="1" x14ac:dyDescent="0.3">
      <c r="A115" s="11"/>
      <c r="B115" s="11"/>
      <c r="C115" s="11"/>
      <c r="D115" s="43"/>
      <c r="E115" s="43"/>
      <c r="F115" s="11"/>
      <c r="G115" s="11"/>
      <c r="H115" s="11"/>
      <c r="I115" s="11"/>
      <c r="J115" s="11"/>
      <c r="K115" s="11"/>
      <c r="L115" s="11"/>
      <c r="M115" s="11"/>
      <c r="N115" s="11"/>
      <c r="O115" s="11"/>
      <c r="P115" s="11"/>
      <c r="Q115" s="11"/>
      <c r="R115" s="11"/>
      <c r="S115" s="11"/>
    </row>
    <row r="116" spans="1:19" ht="15.75" customHeight="1" x14ac:dyDescent="0.3">
      <c r="A116" s="11"/>
      <c r="B116" s="11"/>
      <c r="C116" s="11"/>
      <c r="D116" s="43"/>
      <c r="E116" s="43"/>
      <c r="F116" s="11"/>
      <c r="G116" s="11"/>
      <c r="H116" s="11"/>
      <c r="I116" s="11"/>
      <c r="J116" s="11"/>
      <c r="K116" s="11"/>
      <c r="L116" s="11"/>
      <c r="M116" s="11"/>
      <c r="N116" s="11"/>
      <c r="O116" s="11"/>
      <c r="P116" s="11"/>
      <c r="Q116" s="11"/>
      <c r="R116" s="11"/>
      <c r="S116" s="11"/>
    </row>
    <row r="117" spans="1:19" ht="15.75" customHeight="1" x14ac:dyDescent="0.3">
      <c r="A117" s="11"/>
      <c r="B117" s="11"/>
      <c r="C117" s="11"/>
      <c r="D117" s="43"/>
      <c r="E117" s="43"/>
      <c r="F117" s="11"/>
      <c r="G117" s="11"/>
      <c r="H117" s="11"/>
      <c r="I117" s="11"/>
      <c r="J117" s="11"/>
      <c r="K117" s="11"/>
      <c r="L117" s="11"/>
      <c r="M117" s="11"/>
      <c r="N117" s="11"/>
      <c r="O117" s="11"/>
      <c r="P117" s="11"/>
      <c r="Q117" s="11"/>
      <c r="R117" s="11"/>
      <c r="S117" s="11"/>
    </row>
    <row r="118" spans="1:19" ht="15.75" customHeight="1" x14ac:dyDescent="0.3">
      <c r="A118" s="11"/>
      <c r="B118" s="11"/>
      <c r="C118" s="11"/>
      <c r="D118" s="43"/>
      <c r="E118" s="43"/>
      <c r="F118" s="11"/>
      <c r="G118" s="11"/>
      <c r="H118" s="11"/>
      <c r="I118" s="11"/>
      <c r="J118" s="11"/>
      <c r="K118" s="11"/>
      <c r="L118" s="11"/>
      <c r="M118" s="11"/>
      <c r="N118" s="11"/>
      <c r="O118" s="11"/>
      <c r="P118" s="11"/>
      <c r="Q118" s="11"/>
      <c r="R118" s="11"/>
      <c r="S118" s="11"/>
    </row>
    <row r="119" spans="1:19" ht="15.75" customHeight="1" x14ac:dyDescent="0.3">
      <c r="A119" s="11"/>
      <c r="B119" s="11"/>
      <c r="C119" s="11"/>
      <c r="D119" s="43"/>
      <c r="E119" s="43"/>
      <c r="F119" s="11"/>
      <c r="G119" s="11"/>
      <c r="H119" s="11"/>
      <c r="I119" s="11"/>
      <c r="J119" s="11"/>
      <c r="K119" s="11"/>
      <c r="L119" s="11"/>
      <c r="M119" s="11"/>
      <c r="N119" s="11"/>
      <c r="O119" s="11"/>
      <c r="P119" s="11"/>
      <c r="Q119" s="11"/>
      <c r="R119" s="11"/>
      <c r="S119" s="11"/>
    </row>
    <row r="120" spans="1:19" ht="15.75" customHeight="1" x14ac:dyDescent="0.3">
      <c r="A120" s="11"/>
      <c r="B120" s="11"/>
      <c r="C120" s="11"/>
      <c r="D120" s="43"/>
      <c r="E120" s="43"/>
      <c r="F120" s="11"/>
      <c r="G120" s="11"/>
      <c r="H120" s="11"/>
      <c r="I120" s="11"/>
      <c r="J120" s="11"/>
      <c r="K120" s="11"/>
      <c r="L120" s="11"/>
      <c r="M120" s="11"/>
      <c r="N120" s="11"/>
      <c r="O120" s="11"/>
      <c r="P120" s="11"/>
      <c r="Q120" s="11"/>
      <c r="R120" s="11"/>
      <c r="S120" s="11"/>
    </row>
    <row r="121" spans="1:19" ht="15.75" customHeight="1" x14ac:dyDescent="0.3">
      <c r="A121" s="11"/>
      <c r="B121" s="11"/>
      <c r="C121" s="11"/>
      <c r="D121" s="43"/>
      <c r="E121" s="43"/>
      <c r="F121" s="11"/>
      <c r="G121" s="11"/>
      <c r="H121" s="11"/>
      <c r="I121" s="11"/>
      <c r="J121" s="11"/>
      <c r="K121" s="11"/>
      <c r="L121" s="11"/>
      <c r="M121" s="11"/>
      <c r="N121" s="11"/>
      <c r="O121" s="11"/>
      <c r="P121" s="11"/>
      <c r="Q121" s="11"/>
      <c r="R121" s="11"/>
      <c r="S121" s="11"/>
    </row>
    <row r="122" spans="1:19" ht="15.75" customHeight="1" x14ac:dyDescent="0.3">
      <c r="A122" s="11"/>
      <c r="B122" s="11"/>
      <c r="C122" s="11"/>
      <c r="D122" s="43"/>
      <c r="E122" s="43"/>
      <c r="F122" s="11"/>
      <c r="G122" s="11"/>
      <c r="H122" s="11"/>
      <c r="I122" s="11"/>
      <c r="J122" s="11"/>
      <c r="K122" s="11"/>
      <c r="L122" s="11"/>
      <c r="M122" s="11"/>
      <c r="N122" s="11"/>
      <c r="O122" s="11"/>
      <c r="P122" s="11"/>
      <c r="Q122" s="11"/>
      <c r="R122" s="11"/>
      <c r="S122" s="11"/>
    </row>
    <row r="123" spans="1:19" ht="15.75" customHeight="1" x14ac:dyDescent="0.3">
      <c r="A123" s="11"/>
      <c r="B123" s="11"/>
      <c r="C123" s="11"/>
      <c r="D123" s="43"/>
      <c r="E123" s="43"/>
      <c r="F123" s="11"/>
      <c r="G123" s="11"/>
      <c r="H123" s="11"/>
      <c r="I123" s="11"/>
      <c r="J123" s="11"/>
      <c r="K123" s="11"/>
      <c r="L123" s="11"/>
      <c r="M123" s="11"/>
      <c r="N123" s="11"/>
      <c r="O123" s="11"/>
      <c r="P123" s="11"/>
      <c r="Q123" s="11"/>
      <c r="R123" s="11"/>
      <c r="S123" s="11"/>
    </row>
    <row r="124" spans="1:19" ht="15.75" customHeight="1" x14ac:dyDescent="0.3">
      <c r="A124" s="11"/>
      <c r="B124" s="11"/>
      <c r="C124" s="11"/>
      <c r="D124" s="43"/>
      <c r="E124" s="43"/>
      <c r="F124" s="11"/>
      <c r="G124" s="11"/>
      <c r="H124" s="11"/>
      <c r="I124" s="11"/>
      <c r="J124" s="11"/>
      <c r="K124" s="11"/>
      <c r="L124" s="11"/>
      <c r="M124" s="11"/>
      <c r="N124" s="11"/>
      <c r="O124" s="11"/>
      <c r="P124" s="11"/>
      <c r="Q124" s="11"/>
      <c r="R124" s="11"/>
      <c r="S124" s="11"/>
    </row>
    <row r="125" spans="1:19" ht="15.75" customHeight="1" x14ac:dyDescent="0.3">
      <c r="A125" s="11"/>
      <c r="B125" s="11"/>
      <c r="C125" s="11"/>
      <c r="D125" s="43"/>
      <c r="E125" s="43"/>
      <c r="F125" s="11"/>
      <c r="G125" s="11"/>
      <c r="H125" s="11"/>
      <c r="I125" s="11"/>
      <c r="J125" s="11"/>
      <c r="K125" s="11"/>
      <c r="L125" s="11"/>
      <c r="M125" s="11"/>
      <c r="N125" s="11"/>
      <c r="O125" s="11"/>
      <c r="P125" s="11"/>
      <c r="Q125" s="11"/>
      <c r="R125" s="11"/>
      <c r="S125" s="11"/>
    </row>
    <row r="126" spans="1:19" ht="15.75" customHeight="1" x14ac:dyDescent="0.3">
      <c r="A126" s="11"/>
      <c r="B126" s="11"/>
      <c r="C126" s="11"/>
      <c r="D126" s="43"/>
      <c r="E126" s="43"/>
      <c r="F126" s="11"/>
      <c r="G126" s="11"/>
      <c r="H126" s="11"/>
      <c r="I126" s="11"/>
      <c r="J126" s="11"/>
      <c r="K126" s="11"/>
      <c r="L126" s="11"/>
      <c r="M126" s="11"/>
      <c r="N126" s="11"/>
      <c r="O126" s="11"/>
      <c r="P126" s="11"/>
      <c r="Q126" s="11"/>
      <c r="R126" s="11"/>
      <c r="S126" s="11"/>
    </row>
    <row r="127" spans="1:19" ht="15.75" customHeight="1" x14ac:dyDescent="0.3">
      <c r="A127" s="11"/>
      <c r="B127" s="11"/>
      <c r="C127" s="11"/>
      <c r="D127" s="43"/>
      <c r="E127" s="43"/>
      <c r="F127" s="11"/>
      <c r="G127" s="11"/>
      <c r="H127" s="11"/>
      <c r="I127" s="11"/>
      <c r="J127" s="11"/>
      <c r="K127" s="11"/>
      <c r="L127" s="11"/>
      <c r="M127" s="11"/>
      <c r="N127" s="11"/>
      <c r="O127" s="11"/>
      <c r="P127" s="11"/>
      <c r="Q127" s="11"/>
      <c r="R127" s="11"/>
      <c r="S127" s="11"/>
    </row>
    <row r="128" spans="1:19" ht="15.75" customHeight="1" x14ac:dyDescent="0.3">
      <c r="A128" s="11"/>
      <c r="B128" s="11"/>
      <c r="C128" s="11"/>
      <c r="D128" s="43"/>
      <c r="E128" s="43"/>
      <c r="F128" s="11"/>
      <c r="G128" s="11"/>
      <c r="H128" s="11"/>
      <c r="I128" s="11"/>
      <c r="J128" s="11"/>
      <c r="K128" s="11"/>
      <c r="L128" s="11"/>
      <c r="M128" s="11"/>
      <c r="N128" s="11"/>
      <c r="O128" s="11"/>
      <c r="P128" s="11"/>
      <c r="Q128" s="11"/>
      <c r="R128" s="11"/>
      <c r="S128" s="11"/>
    </row>
    <row r="129" spans="1:19" ht="15.75" customHeight="1" x14ac:dyDescent="0.3">
      <c r="A129" s="11"/>
      <c r="B129" s="11"/>
      <c r="C129" s="11"/>
      <c r="D129" s="43"/>
      <c r="E129" s="43"/>
      <c r="F129" s="11"/>
      <c r="G129" s="11"/>
      <c r="H129" s="11"/>
      <c r="I129" s="11"/>
      <c r="J129" s="11"/>
      <c r="K129" s="11"/>
      <c r="L129" s="11"/>
      <c r="M129" s="11"/>
      <c r="N129" s="11"/>
      <c r="O129" s="11"/>
      <c r="P129" s="11"/>
      <c r="Q129" s="11"/>
      <c r="R129" s="11"/>
      <c r="S129" s="11"/>
    </row>
    <row r="130" spans="1:19" ht="15.75" customHeight="1" x14ac:dyDescent="0.3">
      <c r="A130" s="11"/>
      <c r="B130" s="11"/>
      <c r="C130" s="11"/>
      <c r="D130" s="43"/>
      <c r="E130" s="43"/>
      <c r="F130" s="11"/>
      <c r="G130" s="11"/>
      <c r="H130" s="11"/>
      <c r="I130" s="11"/>
      <c r="J130" s="11"/>
      <c r="K130" s="11"/>
      <c r="L130" s="11"/>
      <c r="M130" s="11"/>
      <c r="N130" s="11"/>
      <c r="O130" s="11"/>
      <c r="P130" s="11"/>
      <c r="Q130" s="11"/>
      <c r="R130" s="11"/>
      <c r="S130" s="11"/>
    </row>
    <row r="131" spans="1:19" ht="15.75" customHeight="1" x14ac:dyDescent="0.3">
      <c r="A131" s="11"/>
      <c r="B131" s="11"/>
      <c r="C131" s="11"/>
      <c r="D131" s="43"/>
      <c r="E131" s="43"/>
      <c r="F131" s="11"/>
      <c r="G131" s="11"/>
      <c r="H131" s="11"/>
      <c r="I131" s="11"/>
      <c r="J131" s="11"/>
      <c r="K131" s="11"/>
      <c r="L131" s="11"/>
      <c r="M131" s="11"/>
      <c r="N131" s="11"/>
      <c r="O131" s="11"/>
      <c r="P131" s="11"/>
      <c r="Q131" s="11"/>
      <c r="R131" s="11"/>
      <c r="S131" s="11"/>
    </row>
    <row r="132" spans="1:19" ht="15.75" customHeight="1" x14ac:dyDescent="0.3">
      <c r="A132" s="11"/>
      <c r="B132" s="11"/>
      <c r="C132" s="11"/>
      <c r="D132" s="43"/>
      <c r="E132" s="43"/>
      <c r="F132" s="11"/>
      <c r="G132" s="11"/>
      <c r="H132" s="11"/>
      <c r="I132" s="11"/>
      <c r="J132" s="11"/>
      <c r="K132" s="11"/>
      <c r="L132" s="11"/>
      <c r="M132" s="11"/>
      <c r="N132" s="11"/>
      <c r="O132" s="11"/>
      <c r="P132" s="11"/>
      <c r="Q132" s="11"/>
      <c r="R132" s="11"/>
      <c r="S132" s="11"/>
    </row>
    <row r="133" spans="1:19" ht="15.75" customHeight="1" x14ac:dyDescent="0.3">
      <c r="A133" s="11"/>
      <c r="B133" s="11"/>
      <c r="C133" s="11"/>
      <c r="D133" s="43"/>
      <c r="E133" s="43"/>
      <c r="F133" s="11"/>
      <c r="G133" s="11"/>
      <c r="H133" s="11"/>
      <c r="I133" s="11"/>
      <c r="J133" s="11"/>
      <c r="K133" s="11"/>
      <c r="L133" s="11"/>
      <c r="M133" s="11"/>
      <c r="N133" s="11"/>
      <c r="O133" s="11"/>
      <c r="P133" s="11"/>
      <c r="Q133" s="11"/>
      <c r="R133" s="11"/>
      <c r="S133" s="11"/>
    </row>
    <row r="134" spans="1:19" ht="15.75" customHeight="1" x14ac:dyDescent="0.3">
      <c r="A134" s="11"/>
      <c r="B134" s="11"/>
      <c r="C134" s="11"/>
      <c r="D134" s="43"/>
      <c r="E134" s="43"/>
      <c r="F134" s="11"/>
      <c r="G134" s="11"/>
      <c r="H134" s="11"/>
      <c r="I134" s="11"/>
      <c r="J134" s="11"/>
      <c r="K134" s="11"/>
      <c r="L134" s="11"/>
      <c r="M134" s="11"/>
      <c r="N134" s="11"/>
      <c r="O134" s="11"/>
      <c r="P134" s="11"/>
      <c r="Q134" s="11"/>
      <c r="R134" s="11"/>
      <c r="S134" s="11"/>
    </row>
    <row r="135" spans="1:19" ht="15.75" customHeight="1" x14ac:dyDescent="0.3">
      <c r="A135" s="11"/>
      <c r="B135" s="11"/>
      <c r="C135" s="11"/>
      <c r="D135" s="43"/>
      <c r="E135" s="43"/>
      <c r="F135" s="11"/>
      <c r="G135" s="11"/>
      <c r="H135" s="11"/>
      <c r="I135" s="11"/>
      <c r="J135" s="11"/>
      <c r="K135" s="11"/>
      <c r="L135" s="11"/>
      <c r="M135" s="11"/>
      <c r="N135" s="11"/>
      <c r="O135" s="11"/>
      <c r="P135" s="11"/>
      <c r="Q135" s="11"/>
      <c r="R135" s="11"/>
      <c r="S135" s="11"/>
    </row>
    <row r="136" spans="1:19" ht="15.75" customHeight="1" x14ac:dyDescent="0.3">
      <c r="A136" s="11"/>
      <c r="B136" s="11"/>
      <c r="C136" s="11"/>
      <c r="D136" s="43"/>
      <c r="E136" s="43"/>
      <c r="F136" s="11"/>
      <c r="G136" s="11"/>
      <c r="H136" s="11"/>
      <c r="I136" s="11"/>
      <c r="J136" s="11"/>
      <c r="K136" s="11"/>
      <c r="L136" s="11"/>
      <c r="M136" s="11"/>
      <c r="N136" s="11"/>
      <c r="O136" s="11"/>
      <c r="P136" s="11"/>
      <c r="Q136" s="11"/>
      <c r="R136" s="11"/>
      <c r="S136" s="11"/>
    </row>
    <row r="137" spans="1:19" ht="15.75" customHeight="1" x14ac:dyDescent="0.3">
      <c r="A137" s="11"/>
      <c r="B137" s="11"/>
      <c r="C137" s="11"/>
      <c r="D137" s="43"/>
      <c r="E137" s="43"/>
      <c r="F137" s="11"/>
      <c r="G137" s="11"/>
      <c r="H137" s="11"/>
      <c r="I137" s="11"/>
      <c r="J137" s="11"/>
      <c r="K137" s="11"/>
      <c r="L137" s="11"/>
      <c r="M137" s="11"/>
      <c r="N137" s="11"/>
      <c r="O137" s="11"/>
      <c r="P137" s="11"/>
      <c r="Q137" s="11"/>
      <c r="R137" s="11"/>
      <c r="S137" s="11"/>
    </row>
    <row r="138" spans="1:19" ht="15.75" customHeight="1" x14ac:dyDescent="0.3">
      <c r="A138" s="11"/>
      <c r="B138" s="11"/>
      <c r="C138" s="11"/>
      <c r="D138" s="43"/>
      <c r="E138" s="43"/>
      <c r="F138" s="11"/>
      <c r="G138" s="11"/>
      <c r="H138" s="11"/>
      <c r="I138" s="11"/>
      <c r="J138" s="11"/>
      <c r="K138" s="11"/>
      <c r="L138" s="11"/>
      <c r="M138" s="11"/>
      <c r="N138" s="11"/>
      <c r="O138" s="11"/>
      <c r="P138" s="11"/>
      <c r="Q138" s="11"/>
      <c r="R138" s="11"/>
      <c r="S138" s="11"/>
    </row>
    <row r="139" spans="1:19" ht="15.75" customHeight="1" x14ac:dyDescent="0.3">
      <c r="A139" s="11"/>
      <c r="B139" s="11"/>
      <c r="C139" s="11"/>
      <c r="D139" s="43"/>
      <c r="E139" s="43"/>
      <c r="F139" s="11"/>
      <c r="G139" s="11"/>
      <c r="H139" s="11"/>
      <c r="I139" s="11"/>
      <c r="J139" s="11"/>
      <c r="K139" s="11"/>
      <c r="L139" s="11"/>
      <c r="M139" s="11"/>
      <c r="N139" s="11"/>
      <c r="O139" s="11"/>
      <c r="P139" s="11"/>
      <c r="Q139" s="11"/>
      <c r="R139" s="11"/>
      <c r="S139" s="11"/>
    </row>
    <row r="140" spans="1:19" ht="15.75" customHeight="1" x14ac:dyDescent="0.3">
      <c r="A140" s="11"/>
      <c r="B140" s="11"/>
      <c r="C140" s="11"/>
      <c r="D140" s="43"/>
      <c r="E140" s="43"/>
      <c r="F140" s="11"/>
      <c r="G140" s="11"/>
      <c r="H140" s="11"/>
      <c r="I140" s="11"/>
      <c r="J140" s="11"/>
      <c r="K140" s="11"/>
      <c r="L140" s="11"/>
      <c r="M140" s="11"/>
      <c r="N140" s="11"/>
      <c r="O140" s="11"/>
      <c r="P140" s="11"/>
      <c r="Q140" s="11"/>
      <c r="R140" s="11"/>
      <c r="S140" s="11"/>
    </row>
    <row r="141" spans="1:19" ht="15.75" customHeight="1" x14ac:dyDescent="0.3">
      <c r="A141" s="11"/>
      <c r="B141" s="11"/>
      <c r="C141" s="11"/>
      <c r="D141" s="43"/>
      <c r="E141" s="43"/>
      <c r="F141" s="11"/>
      <c r="G141" s="11"/>
      <c r="H141" s="11"/>
      <c r="I141" s="11"/>
      <c r="J141" s="11"/>
      <c r="K141" s="11"/>
      <c r="L141" s="11"/>
      <c r="M141" s="11"/>
      <c r="N141" s="11"/>
      <c r="O141" s="11"/>
      <c r="P141" s="11"/>
      <c r="Q141" s="11"/>
      <c r="R141" s="11"/>
      <c r="S141" s="11"/>
    </row>
    <row r="142" spans="1:19" ht="15.75" customHeight="1" x14ac:dyDescent="0.3">
      <c r="A142" s="11"/>
      <c r="B142" s="11"/>
      <c r="C142" s="11"/>
      <c r="D142" s="43"/>
      <c r="E142" s="43"/>
      <c r="F142" s="11"/>
      <c r="G142" s="11"/>
      <c r="H142" s="11"/>
      <c r="I142" s="11"/>
      <c r="J142" s="11"/>
      <c r="K142" s="11"/>
      <c r="L142" s="11"/>
      <c r="M142" s="11"/>
      <c r="N142" s="11"/>
      <c r="O142" s="11"/>
      <c r="P142" s="11"/>
      <c r="Q142" s="11"/>
      <c r="R142" s="11"/>
      <c r="S142" s="11"/>
    </row>
    <row r="143" spans="1:19" ht="15.75" customHeight="1" x14ac:dyDescent="0.3">
      <c r="A143" s="11"/>
      <c r="B143" s="11"/>
      <c r="C143" s="11"/>
      <c r="D143" s="43"/>
      <c r="E143" s="43"/>
      <c r="F143" s="11"/>
      <c r="G143" s="11"/>
      <c r="H143" s="11"/>
      <c r="I143" s="11"/>
      <c r="J143" s="11"/>
      <c r="K143" s="11"/>
      <c r="L143" s="11"/>
      <c r="M143" s="11"/>
      <c r="N143" s="11"/>
      <c r="O143" s="11"/>
      <c r="P143" s="11"/>
      <c r="Q143" s="11"/>
      <c r="R143" s="11"/>
      <c r="S143" s="11"/>
    </row>
    <row r="144" spans="1:19" ht="15.75" customHeight="1" x14ac:dyDescent="0.3">
      <c r="A144" s="11"/>
      <c r="B144" s="11"/>
      <c r="C144" s="11"/>
      <c r="D144" s="43"/>
      <c r="E144" s="43"/>
      <c r="F144" s="11"/>
      <c r="G144" s="11"/>
      <c r="H144" s="11"/>
      <c r="I144" s="11"/>
      <c r="J144" s="11"/>
      <c r="K144" s="11"/>
      <c r="L144" s="11"/>
      <c r="M144" s="11"/>
      <c r="N144" s="11"/>
      <c r="O144" s="11"/>
      <c r="P144" s="11"/>
      <c r="Q144" s="11"/>
      <c r="R144" s="11"/>
      <c r="S144" s="11"/>
    </row>
    <row r="145" spans="1:19" ht="15.75" customHeight="1" x14ac:dyDescent="0.3">
      <c r="A145" s="11"/>
      <c r="B145" s="11"/>
      <c r="C145" s="11"/>
      <c r="D145" s="43"/>
      <c r="E145" s="43"/>
      <c r="F145" s="11"/>
      <c r="G145" s="11"/>
      <c r="H145" s="11"/>
      <c r="I145" s="11"/>
      <c r="J145" s="11"/>
      <c r="K145" s="11"/>
      <c r="L145" s="11"/>
      <c r="M145" s="11"/>
      <c r="N145" s="11"/>
      <c r="O145" s="11"/>
      <c r="P145" s="11"/>
      <c r="Q145" s="11"/>
      <c r="R145" s="11"/>
      <c r="S145" s="11"/>
    </row>
    <row r="146" spans="1:19" ht="15.75" customHeight="1" x14ac:dyDescent="0.3">
      <c r="A146" s="11"/>
      <c r="B146" s="11"/>
      <c r="C146" s="11"/>
      <c r="D146" s="43"/>
      <c r="E146" s="43"/>
      <c r="F146" s="11"/>
      <c r="G146" s="11"/>
      <c r="H146" s="11"/>
      <c r="I146" s="11"/>
      <c r="J146" s="11"/>
      <c r="K146" s="11"/>
      <c r="L146" s="11"/>
      <c r="M146" s="11"/>
      <c r="N146" s="11"/>
      <c r="O146" s="11"/>
      <c r="P146" s="11"/>
      <c r="Q146" s="11"/>
      <c r="R146" s="11"/>
      <c r="S146" s="11"/>
    </row>
    <row r="147" spans="1:19" ht="15.75" customHeight="1" x14ac:dyDescent="0.3">
      <c r="A147" s="11"/>
      <c r="B147" s="11"/>
      <c r="C147" s="11"/>
      <c r="D147" s="43"/>
      <c r="E147" s="43"/>
      <c r="F147" s="11"/>
      <c r="G147" s="11"/>
      <c r="H147" s="11"/>
      <c r="I147" s="11"/>
      <c r="J147" s="11"/>
      <c r="K147" s="11"/>
      <c r="L147" s="11"/>
      <c r="M147" s="11"/>
      <c r="N147" s="11"/>
      <c r="O147" s="11"/>
      <c r="P147" s="11"/>
      <c r="Q147" s="11"/>
      <c r="R147" s="11"/>
      <c r="S147" s="11"/>
    </row>
    <row r="148" spans="1:19" ht="15.75" customHeight="1" x14ac:dyDescent="0.3">
      <c r="A148" s="11"/>
      <c r="B148" s="11"/>
      <c r="C148" s="11"/>
      <c r="D148" s="43"/>
      <c r="E148" s="43"/>
      <c r="F148" s="11"/>
      <c r="G148" s="11"/>
      <c r="H148" s="11"/>
      <c r="I148" s="11"/>
      <c r="J148" s="11"/>
      <c r="K148" s="11"/>
      <c r="L148" s="11"/>
      <c r="M148" s="11"/>
      <c r="N148" s="11"/>
      <c r="O148" s="11"/>
      <c r="P148" s="11"/>
      <c r="Q148" s="11"/>
      <c r="R148" s="11"/>
      <c r="S148" s="11"/>
    </row>
    <row r="149" spans="1:19" ht="15.75" customHeight="1" x14ac:dyDescent="0.3">
      <c r="A149" s="11"/>
      <c r="B149" s="11"/>
      <c r="C149" s="11"/>
      <c r="D149" s="43"/>
      <c r="E149" s="43"/>
      <c r="F149" s="11"/>
      <c r="G149" s="11"/>
      <c r="H149" s="11"/>
      <c r="I149" s="11"/>
      <c r="J149" s="11"/>
      <c r="K149" s="11"/>
      <c r="L149" s="11"/>
      <c r="M149" s="11"/>
      <c r="N149" s="11"/>
      <c r="O149" s="11"/>
      <c r="P149" s="11"/>
      <c r="Q149" s="11"/>
      <c r="R149" s="11"/>
      <c r="S149" s="11"/>
    </row>
    <row r="150" spans="1:19" ht="15.75" customHeight="1" x14ac:dyDescent="0.3">
      <c r="A150" s="11"/>
      <c r="B150" s="11"/>
      <c r="C150" s="11"/>
      <c r="D150" s="43"/>
      <c r="E150" s="43"/>
      <c r="F150" s="11"/>
      <c r="G150" s="11"/>
      <c r="H150" s="11"/>
      <c r="I150" s="11"/>
      <c r="J150" s="11"/>
      <c r="K150" s="11"/>
      <c r="L150" s="11"/>
      <c r="M150" s="11"/>
      <c r="N150" s="11"/>
      <c r="O150" s="11"/>
      <c r="P150" s="11"/>
      <c r="Q150" s="11"/>
      <c r="R150" s="11"/>
      <c r="S150" s="11"/>
    </row>
    <row r="151" spans="1:19" ht="15.75" customHeight="1" x14ac:dyDescent="0.3">
      <c r="A151" s="11"/>
      <c r="B151" s="11"/>
      <c r="C151" s="11"/>
      <c r="D151" s="43"/>
      <c r="E151" s="43"/>
      <c r="F151" s="11"/>
      <c r="G151" s="11"/>
      <c r="H151" s="11"/>
      <c r="I151" s="11"/>
      <c r="J151" s="11"/>
      <c r="K151" s="11"/>
      <c r="L151" s="11"/>
      <c r="M151" s="11"/>
      <c r="N151" s="11"/>
      <c r="O151" s="11"/>
      <c r="P151" s="11"/>
      <c r="Q151" s="11"/>
      <c r="R151" s="11"/>
      <c r="S151" s="11"/>
    </row>
    <row r="152" spans="1:19" ht="15.75" customHeight="1" x14ac:dyDescent="0.3">
      <c r="A152" s="11"/>
      <c r="B152" s="11"/>
      <c r="C152" s="11"/>
      <c r="D152" s="43"/>
      <c r="E152" s="43"/>
      <c r="F152" s="11"/>
      <c r="G152" s="11"/>
      <c r="H152" s="11"/>
      <c r="I152" s="11"/>
      <c r="J152" s="11"/>
      <c r="K152" s="11"/>
      <c r="L152" s="11"/>
      <c r="M152" s="11"/>
      <c r="N152" s="11"/>
      <c r="O152" s="11"/>
      <c r="P152" s="11"/>
      <c r="Q152" s="11"/>
      <c r="R152" s="11"/>
      <c r="S152" s="11"/>
    </row>
    <row r="153" spans="1:19" ht="15.75" customHeight="1" x14ac:dyDescent="0.3">
      <c r="A153" s="11"/>
      <c r="B153" s="11"/>
      <c r="C153" s="11"/>
      <c r="D153" s="43"/>
      <c r="E153" s="43"/>
      <c r="F153" s="11"/>
      <c r="G153" s="11"/>
      <c r="H153" s="11"/>
      <c r="I153" s="11"/>
      <c r="J153" s="11"/>
      <c r="K153" s="11"/>
      <c r="L153" s="11"/>
      <c r="M153" s="11"/>
      <c r="N153" s="11"/>
      <c r="O153" s="11"/>
      <c r="P153" s="11"/>
      <c r="Q153" s="11"/>
      <c r="R153" s="11"/>
      <c r="S153" s="11"/>
    </row>
    <row r="154" spans="1:19" ht="15.75" customHeight="1" x14ac:dyDescent="0.3">
      <c r="A154" s="11"/>
      <c r="B154" s="11"/>
      <c r="C154" s="11"/>
      <c r="D154" s="43"/>
      <c r="E154" s="43"/>
      <c r="F154" s="11"/>
      <c r="G154" s="11"/>
      <c r="H154" s="11"/>
      <c r="I154" s="11"/>
      <c r="J154" s="11"/>
      <c r="K154" s="11"/>
      <c r="L154" s="11"/>
      <c r="M154" s="11"/>
      <c r="N154" s="11"/>
      <c r="O154" s="11"/>
      <c r="P154" s="11"/>
      <c r="Q154" s="11"/>
      <c r="R154" s="11"/>
      <c r="S154" s="11"/>
    </row>
    <row r="155" spans="1:19" ht="15.75" customHeight="1" x14ac:dyDescent="0.3">
      <c r="A155" s="11"/>
      <c r="B155" s="11"/>
      <c r="C155" s="11"/>
      <c r="D155" s="43"/>
      <c r="E155" s="43"/>
      <c r="F155" s="11"/>
      <c r="G155" s="11"/>
      <c r="H155" s="11"/>
      <c r="I155" s="11"/>
      <c r="J155" s="11"/>
      <c r="K155" s="11"/>
      <c r="L155" s="11"/>
      <c r="M155" s="11"/>
      <c r="N155" s="11"/>
      <c r="O155" s="11"/>
      <c r="P155" s="11"/>
      <c r="Q155" s="11"/>
      <c r="R155" s="11"/>
      <c r="S155" s="11"/>
    </row>
    <row r="156" spans="1:19" ht="15.75" customHeight="1" x14ac:dyDescent="0.3">
      <c r="A156" s="11"/>
      <c r="B156" s="11"/>
      <c r="C156" s="11"/>
      <c r="D156" s="43"/>
      <c r="E156" s="43"/>
      <c r="F156" s="11"/>
      <c r="G156" s="11"/>
      <c r="H156" s="11"/>
      <c r="I156" s="11"/>
      <c r="J156" s="11"/>
      <c r="K156" s="11"/>
      <c r="L156" s="11"/>
      <c r="M156" s="11"/>
      <c r="N156" s="11"/>
      <c r="O156" s="11"/>
      <c r="P156" s="11"/>
      <c r="Q156" s="11"/>
      <c r="R156" s="11"/>
      <c r="S156" s="11"/>
    </row>
    <row r="157" spans="1:19" ht="15.75" customHeight="1" x14ac:dyDescent="0.3">
      <c r="A157" s="11"/>
      <c r="B157" s="11"/>
      <c r="C157" s="11"/>
      <c r="D157" s="43"/>
      <c r="E157" s="43"/>
      <c r="F157" s="11"/>
      <c r="G157" s="11"/>
      <c r="H157" s="11"/>
      <c r="I157" s="11"/>
      <c r="J157" s="11"/>
      <c r="K157" s="11"/>
      <c r="L157" s="11"/>
      <c r="M157" s="11"/>
      <c r="N157" s="11"/>
      <c r="O157" s="11"/>
      <c r="P157" s="11"/>
      <c r="Q157" s="11"/>
      <c r="R157" s="11"/>
      <c r="S157" s="11"/>
    </row>
    <row r="158" spans="1:19" ht="15.75" customHeight="1" x14ac:dyDescent="0.3">
      <c r="A158" s="11"/>
      <c r="B158" s="11"/>
      <c r="C158" s="11"/>
      <c r="D158" s="43"/>
      <c r="E158" s="43"/>
      <c r="F158" s="11"/>
      <c r="G158" s="11"/>
      <c r="H158" s="11"/>
      <c r="I158" s="11"/>
      <c r="J158" s="11"/>
      <c r="K158" s="11"/>
      <c r="L158" s="11"/>
      <c r="M158" s="11"/>
      <c r="N158" s="11"/>
      <c r="O158" s="11"/>
      <c r="P158" s="11"/>
      <c r="Q158" s="11"/>
      <c r="R158" s="11"/>
      <c r="S158" s="11"/>
    </row>
    <row r="159" spans="1:19" ht="15.75" customHeight="1" x14ac:dyDescent="0.3">
      <c r="A159" s="11"/>
      <c r="B159" s="11"/>
      <c r="C159" s="11"/>
      <c r="D159" s="43"/>
      <c r="E159" s="43"/>
      <c r="F159" s="11"/>
      <c r="G159" s="11"/>
      <c r="H159" s="11"/>
      <c r="I159" s="11"/>
      <c r="J159" s="11"/>
      <c r="K159" s="11"/>
      <c r="L159" s="11"/>
      <c r="M159" s="11"/>
      <c r="N159" s="11"/>
      <c r="O159" s="11"/>
      <c r="P159" s="11"/>
      <c r="Q159" s="11"/>
      <c r="R159" s="11"/>
      <c r="S159" s="11"/>
    </row>
    <row r="160" spans="1:19" ht="15.75" customHeight="1" x14ac:dyDescent="0.3">
      <c r="A160" s="11"/>
      <c r="B160" s="11"/>
      <c r="C160" s="11"/>
      <c r="D160" s="43"/>
      <c r="E160" s="43"/>
      <c r="F160" s="11"/>
      <c r="G160" s="11"/>
      <c r="H160" s="11"/>
      <c r="I160" s="11"/>
      <c r="J160" s="11"/>
      <c r="K160" s="11"/>
      <c r="L160" s="11"/>
      <c r="M160" s="11"/>
      <c r="N160" s="11"/>
      <c r="O160" s="11"/>
      <c r="P160" s="11"/>
      <c r="Q160" s="11"/>
      <c r="R160" s="11"/>
      <c r="S160" s="11"/>
    </row>
    <row r="161" spans="1:19" ht="15.75" customHeight="1" x14ac:dyDescent="0.3">
      <c r="A161" s="11"/>
      <c r="B161" s="11"/>
      <c r="C161" s="11"/>
      <c r="D161" s="43"/>
      <c r="E161" s="43"/>
      <c r="F161" s="11"/>
      <c r="G161" s="11"/>
      <c r="H161" s="11"/>
      <c r="I161" s="11"/>
      <c r="J161" s="11"/>
      <c r="K161" s="11"/>
      <c r="L161" s="11"/>
      <c r="M161" s="11"/>
      <c r="N161" s="11"/>
      <c r="O161" s="11"/>
      <c r="P161" s="11"/>
      <c r="Q161" s="11"/>
      <c r="R161" s="11"/>
      <c r="S161" s="11"/>
    </row>
    <row r="162" spans="1:19" ht="15.75" customHeight="1" x14ac:dyDescent="0.3">
      <c r="A162" s="11"/>
      <c r="B162" s="11"/>
      <c r="C162" s="11"/>
      <c r="D162" s="43"/>
      <c r="E162" s="43"/>
      <c r="F162" s="11"/>
      <c r="G162" s="11"/>
      <c r="H162" s="11"/>
      <c r="I162" s="11"/>
      <c r="J162" s="11"/>
      <c r="K162" s="11"/>
      <c r="L162" s="11"/>
      <c r="M162" s="11"/>
      <c r="N162" s="11"/>
      <c r="O162" s="11"/>
      <c r="P162" s="11"/>
      <c r="Q162" s="11"/>
      <c r="R162" s="11"/>
      <c r="S162" s="11"/>
    </row>
    <row r="163" spans="1:19" ht="15.75" customHeight="1" x14ac:dyDescent="0.3">
      <c r="A163" s="11"/>
      <c r="B163" s="11"/>
      <c r="C163" s="11"/>
      <c r="D163" s="43"/>
      <c r="E163" s="43"/>
      <c r="F163" s="11"/>
      <c r="G163" s="11"/>
      <c r="H163" s="11"/>
      <c r="I163" s="11"/>
      <c r="J163" s="11"/>
      <c r="K163" s="11"/>
      <c r="L163" s="11"/>
      <c r="M163" s="11"/>
      <c r="N163" s="11"/>
      <c r="O163" s="11"/>
      <c r="P163" s="11"/>
      <c r="Q163" s="11"/>
      <c r="R163" s="11"/>
      <c r="S163" s="11"/>
    </row>
    <row r="164" spans="1:19" ht="15.75" customHeight="1" x14ac:dyDescent="0.3">
      <c r="A164" s="11"/>
      <c r="B164" s="11"/>
      <c r="C164" s="11"/>
      <c r="D164" s="43"/>
      <c r="E164" s="43"/>
      <c r="F164" s="11"/>
      <c r="G164" s="11"/>
      <c r="H164" s="11"/>
      <c r="I164" s="11"/>
      <c r="J164" s="11"/>
      <c r="K164" s="11"/>
      <c r="L164" s="11"/>
      <c r="M164" s="11"/>
      <c r="N164" s="11"/>
      <c r="O164" s="11"/>
      <c r="P164" s="11"/>
      <c r="Q164" s="11"/>
      <c r="R164" s="11"/>
      <c r="S164" s="11"/>
    </row>
    <row r="165" spans="1:19" ht="15.75" customHeight="1" x14ac:dyDescent="0.3">
      <c r="A165" s="11"/>
      <c r="B165" s="11"/>
      <c r="C165" s="11"/>
      <c r="D165" s="43"/>
      <c r="E165" s="43"/>
      <c r="F165" s="11"/>
      <c r="G165" s="11"/>
      <c r="H165" s="11"/>
      <c r="I165" s="11"/>
      <c r="J165" s="11"/>
      <c r="K165" s="11"/>
      <c r="L165" s="11"/>
      <c r="M165" s="11"/>
      <c r="N165" s="11"/>
      <c r="O165" s="11"/>
      <c r="P165" s="11"/>
      <c r="Q165" s="11"/>
      <c r="R165" s="11"/>
      <c r="S165" s="11"/>
    </row>
    <row r="166" spans="1:19" ht="15.75" customHeight="1" x14ac:dyDescent="0.3">
      <c r="A166" s="11"/>
      <c r="B166" s="11"/>
      <c r="C166" s="11"/>
      <c r="D166" s="43"/>
      <c r="E166" s="43"/>
      <c r="F166" s="11"/>
      <c r="G166" s="11"/>
      <c r="H166" s="11"/>
      <c r="I166" s="11"/>
      <c r="J166" s="11"/>
      <c r="K166" s="11"/>
      <c r="L166" s="11"/>
      <c r="M166" s="11"/>
      <c r="N166" s="11"/>
      <c r="O166" s="11"/>
      <c r="P166" s="11"/>
      <c r="Q166" s="11"/>
      <c r="R166" s="11"/>
      <c r="S166" s="11"/>
    </row>
    <row r="167" spans="1:19" ht="15.75" customHeight="1" x14ac:dyDescent="0.3">
      <c r="A167" s="11"/>
      <c r="B167" s="11"/>
      <c r="C167" s="11"/>
      <c r="D167" s="43"/>
      <c r="E167" s="43"/>
      <c r="F167" s="11"/>
      <c r="G167" s="11"/>
      <c r="H167" s="11"/>
      <c r="I167" s="11"/>
      <c r="J167" s="11"/>
      <c r="K167" s="11"/>
      <c r="L167" s="11"/>
      <c r="M167" s="11"/>
      <c r="N167" s="11"/>
      <c r="O167" s="11"/>
      <c r="P167" s="11"/>
      <c r="Q167" s="11"/>
      <c r="R167" s="11"/>
      <c r="S167" s="11"/>
    </row>
    <row r="168" spans="1:19" ht="15.75" customHeight="1" x14ac:dyDescent="0.3">
      <c r="A168" s="11"/>
      <c r="B168" s="11"/>
      <c r="C168" s="11"/>
      <c r="D168" s="43"/>
      <c r="E168" s="43"/>
      <c r="F168" s="11"/>
      <c r="G168" s="11"/>
      <c r="H168" s="11"/>
      <c r="I168" s="11"/>
      <c r="J168" s="11"/>
      <c r="K168" s="11"/>
      <c r="L168" s="11"/>
      <c r="M168" s="11"/>
      <c r="N168" s="11"/>
      <c r="O168" s="11"/>
      <c r="P168" s="11"/>
      <c r="Q168" s="11"/>
      <c r="R168" s="11"/>
      <c r="S168" s="11"/>
    </row>
    <row r="169" spans="1:19" ht="15.75" customHeight="1" x14ac:dyDescent="0.3">
      <c r="A169" s="11"/>
      <c r="B169" s="11"/>
      <c r="C169" s="11"/>
      <c r="D169" s="43"/>
      <c r="E169" s="43"/>
      <c r="F169" s="11"/>
      <c r="G169" s="11"/>
      <c r="H169" s="11"/>
      <c r="I169" s="11"/>
      <c r="J169" s="11"/>
      <c r="K169" s="11"/>
      <c r="L169" s="11"/>
      <c r="M169" s="11"/>
      <c r="N169" s="11"/>
      <c r="O169" s="11"/>
      <c r="P169" s="11"/>
      <c r="Q169" s="11"/>
      <c r="R169" s="11"/>
      <c r="S169" s="11"/>
    </row>
    <row r="170" spans="1:19" ht="15.75" customHeight="1" x14ac:dyDescent="0.3">
      <c r="A170" s="11"/>
      <c r="B170" s="11"/>
      <c r="C170" s="11"/>
      <c r="D170" s="43"/>
      <c r="E170" s="43"/>
      <c r="F170" s="11"/>
      <c r="G170" s="11"/>
      <c r="H170" s="11"/>
      <c r="I170" s="11"/>
      <c r="J170" s="11"/>
      <c r="K170" s="11"/>
      <c r="L170" s="11"/>
      <c r="M170" s="11"/>
      <c r="N170" s="11"/>
      <c r="O170" s="11"/>
      <c r="P170" s="11"/>
      <c r="Q170" s="11"/>
      <c r="R170" s="11"/>
      <c r="S170" s="11"/>
    </row>
    <row r="171" spans="1:19" ht="15.75" customHeight="1" x14ac:dyDescent="0.3">
      <c r="A171" s="11"/>
      <c r="B171" s="11"/>
      <c r="C171" s="11"/>
      <c r="D171" s="43"/>
      <c r="E171" s="43"/>
      <c r="F171" s="11"/>
      <c r="G171" s="11"/>
      <c r="H171" s="11"/>
      <c r="I171" s="11"/>
      <c r="J171" s="11"/>
      <c r="K171" s="11"/>
      <c r="L171" s="11"/>
      <c r="M171" s="11"/>
      <c r="N171" s="11"/>
      <c r="O171" s="11"/>
      <c r="P171" s="11"/>
      <c r="Q171" s="11"/>
      <c r="R171" s="11"/>
      <c r="S171" s="11"/>
    </row>
    <row r="172" spans="1:19" ht="15.75" customHeight="1" x14ac:dyDescent="0.3">
      <c r="A172" s="11"/>
      <c r="B172" s="11"/>
      <c r="C172" s="11"/>
      <c r="D172" s="43"/>
      <c r="E172" s="43"/>
      <c r="F172" s="11"/>
      <c r="G172" s="11"/>
      <c r="H172" s="11"/>
      <c r="I172" s="11"/>
      <c r="J172" s="11"/>
      <c r="K172" s="11"/>
      <c r="L172" s="11"/>
      <c r="M172" s="11"/>
      <c r="N172" s="11"/>
      <c r="O172" s="11"/>
      <c r="P172" s="11"/>
      <c r="Q172" s="11"/>
      <c r="R172" s="11"/>
      <c r="S172" s="11"/>
    </row>
    <row r="173" spans="1:19" ht="15.75" customHeight="1" x14ac:dyDescent="0.3">
      <c r="A173" s="11"/>
      <c r="B173" s="11"/>
      <c r="C173" s="11"/>
      <c r="D173" s="43"/>
      <c r="E173" s="43"/>
      <c r="F173" s="11"/>
      <c r="G173" s="11"/>
      <c r="H173" s="11"/>
      <c r="I173" s="11"/>
      <c r="J173" s="11"/>
      <c r="K173" s="11"/>
      <c r="L173" s="11"/>
      <c r="M173" s="11"/>
      <c r="N173" s="11"/>
      <c r="O173" s="11"/>
      <c r="P173" s="11"/>
      <c r="Q173" s="11"/>
      <c r="R173" s="11"/>
      <c r="S173" s="11"/>
    </row>
    <row r="174" spans="1:19" ht="15.75" customHeight="1" x14ac:dyDescent="0.3">
      <c r="A174" s="11"/>
      <c r="B174" s="11"/>
      <c r="C174" s="11"/>
      <c r="D174" s="43"/>
      <c r="E174" s="43"/>
      <c r="F174" s="11"/>
      <c r="G174" s="11"/>
      <c r="H174" s="11"/>
      <c r="I174" s="11"/>
      <c r="J174" s="11"/>
      <c r="K174" s="11"/>
      <c r="L174" s="11"/>
      <c r="M174" s="11"/>
      <c r="N174" s="11"/>
      <c r="O174" s="11"/>
      <c r="P174" s="11"/>
      <c r="Q174" s="11"/>
      <c r="R174" s="11"/>
      <c r="S174" s="11"/>
    </row>
    <row r="175" spans="1:19" ht="15.75" customHeight="1" x14ac:dyDescent="0.3">
      <c r="A175" s="11"/>
      <c r="B175" s="11"/>
      <c r="C175" s="11"/>
      <c r="D175" s="43"/>
      <c r="E175" s="43"/>
      <c r="F175" s="11"/>
      <c r="G175" s="11"/>
      <c r="H175" s="11"/>
      <c r="I175" s="11"/>
      <c r="J175" s="11"/>
      <c r="K175" s="11"/>
      <c r="L175" s="11"/>
      <c r="M175" s="11"/>
      <c r="N175" s="11"/>
      <c r="O175" s="11"/>
      <c r="P175" s="11"/>
      <c r="Q175" s="11"/>
      <c r="R175" s="11"/>
      <c r="S175" s="11"/>
    </row>
    <row r="176" spans="1:19" ht="15.75" customHeight="1" x14ac:dyDescent="0.3">
      <c r="A176" s="11"/>
      <c r="B176" s="11"/>
      <c r="C176" s="11"/>
      <c r="D176" s="43"/>
      <c r="E176" s="43"/>
      <c r="F176" s="11"/>
      <c r="G176" s="11"/>
      <c r="H176" s="11"/>
      <c r="I176" s="11"/>
      <c r="J176" s="11"/>
      <c r="K176" s="11"/>
      <c r="L176" s="11"/>
      <c r="M176" s="11"/>
      <c r="N176" s="11"/>
      <c r="O176" s="11"/>
      <c r="P176" s="11"/>
      <c r="Q176" s="11"/>
      <c r="R176" s="11"/>
      <c r="S176" s="11"/>
    </row>
    <row r="177" spans="1:19" ht="15.75" customHeight="1" x14ac:dyDescent="0.3">
      <c r="A177" s="11"/>
      <c r="B177" s="11"/>
      <c r="C177" s="11"/>
      <c r="D177" s="43"/>
      <c r="E177" s="43"/>
      <c r="F177" s="11"/>
      <c r="G177" s="11"/>
      <c r="H177" s="11"/>
      <c r="I177" s="11"/>
      <c r="J177" s="11"/>
      <c r="K177" s="11"/>
      <c r="L177" s="11"/>
      <c r="M177" s="11"/>
      <c r="N177" s="11"/>
      <c r="O177" s="11"/>
      <c r="P177" s="11"/>
      <c r="Q177" s="11"/>
      <c r="R177" s="11"/>
      <c r="S177" s="11"/>
    </row>
    <row r="178" spans="1:19" ht="15.75" customHeight="1" x14ac:dyDescent="0.3">
      <c r="A178" s="11"/>
      <c r="B178" s="11"/>
      <c r="C178" s="11"/>
      <c r="D178" s="43"/>
      <c r="E178" s="43"/>
      <c r="F178" s="11"/>
      <c r="G178" s="11"/>
      <c r="H178" s="11"/>
      <c r="I178" s="11"/>
      <c r="J178" s="11"/>
      <c r="K178" s="11"/>
      <c r="L178" s="11"/>
      <c r="M178" s="11"/>
      <c r="N178" s="11"/>
      <c r="O178" s="11"/>
      <c r="P178" s="11"/>
      <c r="Q178" s="11"/>
      <c r="R178" s="11"/>
      <c r="S178" s="11"/>
    </row>
    <row r="179" spans="1:19" ht="15.75" customHeight="1" x14ac:dyDescent="0.3">
      <c r="A179" s="11"/>
      <c r="B179" s="11"/>
      <c r="C179" s="11"/>
      <c r="D179" s="43"/>
      <c r="E179" s="43"/>
      <c r="F179" s="11"/>
      <c r="G179" s="11"/>
      <c r="H179" s="11"/>
      <c r="I179" s="11"/>
      <c r="J179" s="11"/>
      <c r="K179" s="11"/>
      <c r="L179" s="11"/>
      <c r="M179" s="11"/>
      <c r="N179" s="11"/>
      <c r="O179" s="11"/>
      <c r="P179" s="11"/>
      <c r="Q179" s="11"/>
      <c r="R179" s="11"/>
      <c r="S179" s="11"/>
    </row>
    <row r="180" spans="1:19" ht="15.75" customHeight="1" x14ac:dyDescent="0.3">
      <c r="A180" s="11"/>
      <c r="B180" s="11"/>
      <c r="C180" s="11"/>
      <c r="D180" s="43"/>
      <c r="E180" s="43"/>
      <c r="F180" s="11"/>
      <c r="G180" s="11"/>
      <c r="H180" s="11"/>
      <c r="I180" s="11"/>
      <c r="J180" s="11"/>
      <c r="K180" s="11"/>
      <c r="L180" s="11"/>
      <c r="M180" s="11"/>
      <c r="N180" s="11"/>
      <c r="O180" s="11"/>
      <c r="P180" s="11"/>
      <c r="Q180" s="11"/>
      <c r="R180" s="11"/>
      <c r="S180" s="11"/>
    </row>
    <row r="181" spans="1:19" ht="15.75" customHeight="1" x14ac:dyDescent="0.3">
      <c r="A181" s="11"/>
      <c r="B181" s="11"/>
      <c r="C181" s="11"/>
      <c r="D181" s="43"/>
      <c r="E181" s="43"/>
      <c r="F181" s="11"/>
      <c r="G181" s="11"/>
      <c r="H181" s="11"/>
      <c r="I181" s="11"/>
      <c r="J181" s="11"/>
      <c r="K181" s="11"/>
      <c r="L181" s="11"/>
      <c r="M181" s="11"/>
      <c r="N181" s="11"/>
      <c r="O181" s="11"/>
      <c r="P181" s="11"/>
      <c r="Q181" s="11"/>
      <c r="R181" s="11"/>
      <c r="S181" s="11"/>
    </row>
    <row r="182" spans="1:19" ht="15.75" customHeight="1" x14ac:dyDescent="0.3">
      <c r="A182" s="11"/>
      <c r="B182" s="11"/>
      <c r="C182" s="11"/>
      <c r="D182" s="43"/>
      <c r="E182" s="43"/>
      <c r="F182" s="11"/>
      <c r="G182" s="11"/>
      <c r="H182" s="11"/>
      <c r="I182" s="11"/>
      <c r="J182" s="11"/>
      <c r="K182" s="11"/>
      <c r="L182" s="11"/>
      <c r="M182" s="11"/>
      <c r="N182" s="11"/>
      <c r="O182" s="11"/>
      <c r="P182" s="11"/>
      <c r="Q182" s="11"/>
      <c r="R182" s="11"/>
      <c r="S182" s="11"/>
    </row>
    <row r="183" spans="1:19" ht="15.75" customHeight="1" x14ac:dyDescent="0.3">
      <c r="A183" s="11"/>
      <c r="B183" s="11"/>
      <c r="C183" s="11"/>
      <c r="D183" s="43"/>
      <c r="E183" s="43"/>
      <c r="F183" s="11"/>
      <c r="G183" s="11"/>
      <c r="H183" s="11"/>
      <c r="I183" s="11"/>
      <c r="J183" s="11"/>
      <c r="K183" s="11"/>
      <c r="L183" s="11"/>
      <c r="M183" s="11"/>
      <c r="N183" s="11"/>
      <c r="O183" s="11"/>
      <c r="P183" s="11"/>
      <c r="Q183" s="11"/>
      <c r="R183" s="11"/>
      <c r="S183" s="11"/>
    </row>
    <row r="184" spans="1:19" ht="15.75" customHeight="1" x14ac:dyDescent="0.3">
      <c r="A184" s="11"/>
      <c r="B184" s="11"/>
      <c r="C184" s="11"/>
      <c r="D184" s="43"/>
      <c r="E184" s="43"/>
      <c r="F184" s="11"/>
      <c r="G184" s="11"/>
      <c r="H184" s="11"/>
      <c r="I184" s="11"/>
      <c r="J184" s="11"/>
      <c r="K184" s="11"/>
      <c r="L184" s="11"/>
      <c r="M184" s="11"/>
      <c r="N184" s="11"/>
      <c r="O184" s="11"/>
      <c r="P184" s="11"/>
      <c r="Q184" s="11"/>
      <c r="R184" s="11"/>
      <c r="S184" s="11"/>
    </row>
    <row r="185" spans="1:19" ht="15.75" customHeight="1" x14ac:dyDescent="0.3">
      <c r="A185" s="11"/>
      <c r="B185" s="11"/>
      <c r="C185" s="11"/>
      <c r="D185" s="43"/>
      <c r="E185" s="43"/>
      <c r="F185" s="11"/>
      <c r="G185" s="11"/>
      <c r="H185" s="11"/>
      <c r="I185" s="11"/>
      <c r="J185" s="11"/>
      <c r="K185" s="11"/>
      <c r="L185" s="11"/>
      <c r="M185" s="11"/>
      <c r="N185" s="11"/>
      <c r="O185" s="11"/>
      <c r="P185" s="11"/>
      <c r="Q185" s="11"/>
      <c r="R185" s="11"/>
      <c r="S185" s="11"/>
    </row>
    <row r="186" spans="1:19" ht="15.75" customHeight="1" x14ac:dyDescent="0.3">
      <c r="A186" s="11"/>
      <c r="B186" s="11"/>
      <c r="C186" s="11"/>
      <c r="D186" s="43"/>
      <c r="E186" s="43"/>
      <c r="F186" s="11"/>
      <c r="G186" s="11"/>
      <c r="H186" s="11"/>
      <c r="I186" s="11"/>
      <c r="J186" s="11"/>
      <c r="K186" s="11"/>
      <c r="L186" s="11"/>
      <c r="M186" s="11"/>
      <c r="N186" s="11"/>
      <c r="O186" s="11"/>
      <c r="P186" s="11"/>
      <c r="Q186" s="11"/>
      <c r="R186" s="11"/>
      <c r="S186" s="11"/>
    </row>
    <row r="187" spans="1:19" ht="15.75" customHeight="1" x14ac:dyDescent="0.3">
      <c r="A187" s="11"/>
      <c r="B187" s="11"/>
      <c r="C187" s="11"/>
      <c r="D187" s="43"/>
      <c r="E187" s="43"/>
      <c r="F187" s="11"/>
      <c r="G187" s="11"/>
      <c r="H187" s="11"/>
      <c r="I187" s="11"/>
      <c r="J187" s="11"/>
      <c r="K187" s="11"/>
      <c r="L187" s="11"/>
      <c r="M187" s="11"/>
      <c r="N187" s="11"/>
      <c r="O187" s="11"/>
      <c r="P187" s="11"/>
      <c r="Q187" s="11"/>
      <c r="R187" s="11"/>
      <c r="S187" s="11"/>
    </row>
    <row r="188" spans="1:19" ht="15.75" customHeight="1" x14ac:dyDescent="0.3">
      <c r="A188" s="11"/>
      <c r="B188" s="11"/>
      <c r="C188" s="11"/>
      <c r="D188" s="43"/>
      <c r="E188" s="43"/>
      <c r="F188" s="11"/>
      <c r="G188" s="11"/>
      <c r="H188" s="11"/>
      <c r="I188" s="11"/>
      <c r="J188" s="11"/>
      <c r="K188" s="11"/>
      <c r="L188" s="11"/>
      <c r="M188" s="11"/>
      <c r="N188" s="11"/>
      <c r="O188" s="11"/>
      <c r="P188" s="11"/>
      <c r="Q188" s="11"/>
      <c r="R188" s="11"/>
      <c r="S188" s="11"/>
    </row>
    <row r="189" spans="1:19" ht="15.75" customHeight="1" x14ac:dyDescent="0.3">
      <c r="A189" s="11"/>
      <c r="B189" s="11"/>
      <c r="C189" s="11"/>
      <c r="D189" s="43"/>
      <c r="E189" s="43"/>
      <c r="F189" s="11"/>
      <c r="G189" s="11"/>
      <c r="H189" s="11"/>
      <c r="I189" s="11"/>
      <c r="J189" s="11"/>
      <c r="K189" s="11"/>
      <c r="L189" s="11"/>
      <c r="M189" s="11"/>
      <c r="N189" s="11"/>
      <c r="O189" s="11"/>
      <c r="P189" s="11"/>
      <c r="Q189" s="11"/>
      <c r="R189" s="11"/>
      <c r="S189" s="11"/>
    </row>
    <row r="190" spans="1:19" ht="15.75" customHeight="1" x14ac:dyDescent="0.3">
      <c r="A190" s="11"/>
      <c r="B190" s="11"/>
      <c r="C190" s="11"/>
      <c r="D190" s="43"/>
      <c r="E190" s="43"/>
      <c r="F190" s="11"/>
      <c r="G190" s="11"/>
      <c r="H190" s="11"/>
      <c r="I190" s="11"/>
      <c r="J190" s="11"/>
      <c r="K190" s="11"/>
      <c r="L190" s="11"/>
      <c r="M190" s="11"/>
      <c r="N190" s="11"/>
      <c r="O190" s="11"/>
      <c r="P190" s="11"/>
      <c r="Q190" s="11"/>
      <c r="R190" s="11"/>
      <c r="S190" s="11"/>
    </row>
    <row r="191" spans="1:19" ht="15.75" customHeight="1" x14ac:dyDescent="0.3">
      <c r="A191" s="11"/>
      <c r="B191" s="11"/>
      <c r="C191" s="11"/>
      <c r="D191" s="43"/>
      <c r="E191" s="43"/>
      <c r="F191" s="11"/>
      <c r="G191" s="11"/>
      <c r="H191" s="11"/>
      <c r="I191" s="11"/>
      <c r="J191" s="11"/>
      <c r="K191" s="11"/>
      <c r="L191" s="11"/>
      <c r="M191" s="11"/>
      <c r="N191" s="11"/>
      <c r="O191" s="11"/>
      <c r="P191" s="11"/>
      <c r="Q191" s="11"/>
      <c r="R191" s="11"/>
      <c r="S191" s="11"/>
    </row>
    <row r="192" spans="1:19" ht="15.75" customHeight="1" x14ac:dyDescent="0.3">
      <c r="A192" s="11"/>
      <c r="B192" s="11"/>
      <c r="C192" s="11"/>
      <c r="D192" s="43"/>
      <c r="E192" s="43"/>
      <c r="F192" s="11"/>
      <c r="G192" s="11"/>
      <c r="H192" s="11"/>
      <c r="I192" s="11"/>
      <c r="J192" s="11"/>
      <c r="K192" s="11"/>
      <c r="L192" s="11"/>
      <c r="M192" s="11"/>
      <c r="N192" s="11"/>
      <c r="O192" s="11"/>
      <c r="P192" s="11"/>
      <c r="Q192" s="11"/>
      <c r="R192" s="11"/>
      <c r="S192" s="11"/>
    </row>
    <row r="193" spans="1:19" ht="15.75" customHeight="1" x14ac:dyDescent="0.3">
      <c r="A193" s="11"/>
      <c r="B193" s="11"/>
      <c r="C193" s="11"/>
      <c r="D193" s="43"/>
      <c r="E193" s="43"/>
      <c r="F193" s="11"/>
      <c r="G193" s="11"/>
      <c r="H193" s="11"/>
      <c r="I193" s="11"/>
      <c r="J193" s="11"/>
      <c r="K193" s="11"/>
      <c r="L193" s="11"/>
      <c r="M193" s="11"/>
      <c r="N193" s="11"/>
      <c r="O193" s="11"/>
      <c r="P193" s="11"/>
      <c r="Q193" s="11"/>
      <c r="R193" s="11"/>
      <c r="S193" s="11"/>
    </row>
    <row r="194" spans="1:19" ht="15.75" customHeight="1" x14ac:dyDescent="0.3">
      <c r="A194" s="11"/>
      <c r="B194" s="11"/>
      <c r="C194" s="11"/>
      <c r="D194" s="43"/>
      <c r="E194" s="43"/>
      <c r="F194" s="11"/>
      <c r="G194" s="11"/>
      <c r="H194" s="11"/>
      <c r="I194" s="11"/>
      <c r="J194" s="11"/>
      <c r="K194" s="11"/>
      <c r="L194" s="11"/>
      <c r="M194" s="11"/>
      <c r="N194" s="11"/>
      <c r="O194" s="11"/>
      <c r="P194" s="11"/>
      <c r="Q194" s="11"/>
      <c r="R194" s="11"/>
      <c r="S194" s="11"/>
    </row>
    <row r="195" spans="1:19" ht="15.75" customHeight="1" x14ac:dyDescent="0.3">
      <c r="A195" s="11"/>
      <c r="B195" s="11"/>
      <c r="C195" s="11"/>
      <c r="D195" s="43"/>
      <c r="E195" s="43"/>
      <c r="F195" s="11"/>
      <c r="G195" s="11"/>
      <c r="H195" s="11"/>
      <c r="I195" s="11"/>
      <c r="J195" s="11"/>
      <c r="K195" s="11"/>
      <c r="L195" s="11"/>
      <c r="M195" s="11"/>
      <c r="N195" s="11"/>
      <c r="O195" s="11"/>
      <c r="P195" s="11"/>
      <c r="Q195" s="11"/>
      <c r="R195" s="11"/>
      <c r="S195" s="11"/>
    </row>
    <row r="196" spans="1:19" ht="15.75" customHeight="1" x14ac:dyDescent="0.3">
      <c r="A196" s="11"/>
      <c r="B196" s="11"/>
      <c r="C196" s="11"/>
      <c r="D196" s="43"/>
      <c r="E196" s="43"/>
      <c r="F196" s="11"/>
      <c r="G196" s="11"/>
      <c r="H196" s="11"/>
      <c r="I196" s="11"/>
      <c r="J196" s="11"/>
      <c r="K196" s="11"/>
      <c r="L196" s="11"/>
      <c r="M196" s="11"/>
      <c r="N196" s="11"/>
      <c r="O196" s="11"/>
      <c r="P196" s="11"/>
      <c r="Q196" s="11"/>
      <c r="R196" s="11"/>
      <c r="S196" s="11"/>
    </row>
    <row r="197" spans="1:19" ht="15.75" customHeight="1" x14ac:dyDescent="0.3">
      <c r="A197" s="11"/>
      <c r="B197" s="11"/>
      <c r="C197" s="11"/>
      <c r="D197" s="43"/>
      <c r="E197" s="43"/>
      <c r="F197" s="11"/>
      <c r="G197" s="11"/>
      <c r="H197" s="11"/>
      <c r="I197" s="11"/>
      <c r="J197" s="11"/>
      <c r="K197" s="11"/>
      <c r="L197" s="11"/>
      <c r="M197" s="11"/>
      <c r="N197" s="11"/>
      <c r="O197" s="11"/>
      <c r="P197" s="11"/>
      <c r="Q197" s="11"/>
      <c r="R197" s="11"/>
      <c r="S197" s="11"/>
    </row>
    <row r="198" spans="1:19" ht="15.75" customHeight="1" x14ac:dyDescent="0.3">
      <c r="A198" s="11"/>
      <c r="B198" s="11"/>
      <c r="C198" s="11"/>
      <c r="D198" s="43"/>
      <c r="E198" s="43"/>
      <c r="F198" s="11"/>
      <c r="G198" s="11"/>
      <c r="H198" s="11"/>
      <c r="I198" s="11"/>
      <c r="J198" s="11"/>
      <c r="K198" s="11"/>
      <c r="L198" s="11"/>
      <c r="M198" s="11"/>
      <c r="N198" s="11"/>
      <c r="O198" s="11"/>
      <c r="P198" s="11"/>
      <c r="Q198" s="11"/>
      <c r="R198" s="11"/>
      <c r="S198" s="11"/>
    </row>
    <row r="199" spans="1:19" ht="15.75" customHeight="1" x14ac:dyDescent="0.3">
      <c r="A199" s="11"/>
      <c r="B199" s="11"/>
      <c r="C199" s="11"/>
      <c r="D199" s="43"/>
      <c r="E199" s="43"/>
      <c r="F199" s="11"/>
      <c r="G199" s="11"/>
      <c r="H199" s="11"/>
      <c r="I199" s="11"/>
      <c r="J199" s="11"/>
      <c r="K199" s="11"/>
      <c r="L199" s="11"/>
      <c r="M199" s="11"/>
      <c r="N199" s="11"/>
      <c r="O199" s="11"/>
      <c r="P199" s="11"/>
      <c r="Q199" s="11"/>
      <c r="R199" s="11"/>
      <c r="S199" s="11"/>
    </row>
    <row r="200" spans="1:19" ht="15.75" customHeight="1" x14ac:dyDescent="0.3">
      <c r="A200" s="11"/>
      <c r="B200" s="11"/>
      <c r="C200" s="11"/>
      <c r="D200" s="43"/>
      <c r="E200" s="43"/>
      <c r="F200" s="11"/>
      <c r="G200" s="11"/>
      <c r="H200" s="11"/>
      <c r="I200" s="11"/>
      <c r="J200" s="11"/>
      <c r="K200" s="11"/>
      <c r="L200" s="11"/>
      <c r="M200" s="11"/>
      <c r="N200" s="11"/>
      <c r="O200" s="11"/>
      <c r="P200" s="11"/>
      <c r="Q200" s="11"/>
      <c r="R200" s="11"/>
      <c r="S200" s="11"/>
    </row>
    <row r="201" spans="1:19" ht="15.75" customHeight="1" x14ac:dyDescent="0.3">
      <c r="A201" s="11"/>
      <c r="B201" s="11"/>
      <c r="C201" s="11"/>
      <c r="D201" s="43"/>
      <c r="E201" s="43"/>
      <c r="F201" s="11"/>
      <c r="G201" s="11"/>
      <c r="H201" s="11"/>
      <c r="I201" s="11"/>
      <c r="J201" s="11"/>
      <c r="K201" s="11"/>
      <c r="L201" s="11"/>
      <c r="M201" s="11"/>
      <c r="N201" s="11"/>
      <c r="O201" s="11"/>
      <c r="P201" s="11"/>
      <c r="Q201" s="11"/>
      <c r="R201" s="11"/>
      <c r="S201" s="11"/>
    </row>
    <row r="202" spans="1:19" ht="15.75" customHeight="1" x14ac:dyDescent="0.3">
      <c r="A202" s="11"/>
      <c r="B202" s="11"/>
      <c r="C202" s="11"/>
      <c r="D202" s="43"/>
      <c r="E202" s="43"/>
      <c r="F202" s="11"/>
      <c r="G202" s="11"/>
      <c r="H202" s="11"/>
      <c r="I202" s="11"/>
      <c r="J202" s="11"/>
      <c r="K202" s="11"/>
      <c r="L202" s="11"/>
      <c r="M202" s="11"/>
      <c r="N202" s="11"/>
      <c r="O202" s="11"/>
      <c r="P202" s="11"/>
      <c r="Q202" s="11"/>
      <c r="R202" s="11"/>
      <c r="S202" s="11"/>
    </row>
    <row r="203" spans="1:19" ht="15.75" customHeight="1" x14ac:dyDescent="0.3">
      <c r="A203" s="11"/>
      <c r="B203" s="11"/>
      <c r="C203" s="11"/>
      <c r="D203" s="43"/>
      <c r="E203" s="43"/>
      <c r="F203" s="11"/>
      <c r="G203" s="11"/>
      <c r="H203" s="11"/>
      <c r="I203" s="11"/>
      <c r="J203" s="11"/>
      <c r="K203" s="11"/>
      <c r="L203" s="11"/>
      <c r="M203" s="11"/>
      <c r="N203" s="11"/>
      <c r="O203" s="11"/>
      <c r="P203" s="11"/>
      <c r="Q203" s="11"/>
      <c r="R203" s="11"/>
      <c r="S203" s="11"/>
    </row>
    <row r="204" spans="1:19" ht="15.75" customHeight="1" x14ac:dyDescent="0.3">
      <c r="A204" s="11"/>
      <c r="B204" s="11"/>
      <c r="C204" s="11"/>
      <c r="D204" s="43"/>
      <c r="E204" s="43"/>
      <c r="F204" s="11"/>
      <c r="G204" s="11"/>
      <c r="H204" s="11"/>
      <c r="I204" s="11"/>
      <c r="J204" s="11"/>
      <c r="K204" s="11"/>
      <c r="L204" s="11"/>
      <c r="M204" s="11"/>
      <c r="N204" s="11"/>
      <c r="O204" s="11"/>
      <c r="P204" s="11"/>
      <c r="Q204" s="11"/>
      <c r="R204" s="11"/>
      <c r="S204" s="11"/>
    </row>
    <row r="205" spans="1:19" ht="15.75" customHeight="1" x14ac:dyDescent="0.3">
      <c r="A205" s="11"/>
      <c r="B205" s="11"/>
      <c r="C205" s="11"/>
      <c r="D205" s="43"/>
      <c r="E205" s="43"/>
      <c r="F205" s="11"/>
      <c r="G205" s="11"/>
      <c r="H205" s="11"/>
      <c r="I205" s="11"/>
      <c r="J205" s="11"/>
      <c r="K205" s="11"/>
      <c r="L205" s="11"/>
      <c r="M205" s="11"/>
      <c r="N205" s="11"/>
      <c r="O205" s="11"/>
      <c r="P205" s="11"/>
      <c r="Q205" s="11"/>
      <c r="R205" s="11"/>
      <c r="S205" s="11"/>
    </row>
    <row r="206" spans="1:19" ht="15.75" customHeight="1" x14ac:dyDescent="0.3">
      <c r="A206" s="11"/>
      <c r="B206" s="11"/>
      <c r="C206" s="11"/>
      <c r="D206" s="43"/>
      <c r="E206" s="43"/>
      <c r="F206" s="11"/>
      <c r="G206" s="11"/>
      <c r="H206" s="11"/>
      <c r="I206" s="11"/>
      <c r="J206" s="11"/>
      <c r="K206" s="11"/>
      <c r="L206" s="11"/>
      <c r="M206" s="11"/>
      <c r="N206" s="11"/>
      <c r="O206" s="11"/>
      <c r="P206" s="11"/>
      <c r="Q206" s="11"/>
      <c r="R206" s="11"/>
      <c r="S206" s="11"/>
    </row>
    <row r="207" spans="1:19" ht="15.75" customHeight="1" x14ac:dyDescent="0.3">
      <c r="A207" s="11"/>
      <c r="B207" s="11"/>
      <c r="C207" s="11"/>
      <c r="D207" s="43"/>
      <c r="E207" s="43"/>
      <c r="F207" s="11"/>
      <c r="G207" s="11"/>
      <c r="H207" s="11"/>
      <c r="I207" s="11"/>
      <c r="J207" s="11"/>
      <c r="K207" s="11"/>
      <c r="L207" s="11"/>
      <c r="M207" s="11"/>
      <c r="N207" s="11"/>
      <c r="O207" s="11"/>
      <c r="P207" s="11"/>
      <c r="Q207" s="11"/>
      <c r="R207" s="11"/>
      <c r="S207" s="11"/>
    </row>
    <row r="208" spans="1:19" ht="15.75" customHeight="1" x14ac:dyDescent="0.3">
      <c r="A208" s="11"/>
      <c r="B208" s="11"/>
      <c r="C208" s="11"/>
      <c r="D208" s="43"/>
      <c r="E208" s="43"/>
      <c r="F208" s="11"/>
      <c r="G208" s="11"/>
      <c r="H208" s="11"/>
      <c r="I208" s="11"/>
      <c r="J208" s="11"/>
      <c r="K208" s="11"/>
      <c r="L208" s="11"/>
      <c r="M208" s="11"/>
      <c r="N208" s="11"/>
      <c r="O208" s="11"/>
      <c r="P208" s="11"/>
      <c r="Q208" s="11"/>
      <c r="R208" s="11"/>
      <c r="S208" s="11"/>
    </row>
    <row r="209" spans="1:19" ht="15.75" customHeight="1" x14ac:dyDescent="0.3">
      <c r="A209" s="11"/>
      <c r="B209" s="11"/>
      <c r="C209" s="11"/>
      <c r="D209" s="43"/>
      <c r="E209" s="43"/>
      <c r="F209" s="11"/>
      <c r="G209" s="11"/>
      <c r="H209" s="11"/>
      <c r="I209" s="11"/>
      <c r="J209" s="11"/>
      <c r="K209" s="11"/>
      <c r="L209" s="11"/>
      <c r="M209" s="11"/>
      <c r="N209" s="11"/>
      <c r="O209" s="11"/>
      <c r="P209" s="11"/>
      <c r="Q209" s="11"/>
      <c r="R209" s="11"/>
      <c r="S209" s="11"/>
    </row>
    <row r="210" spans="1:19" ht="15.75" customHeight="1" x14ac:dyDescent="0.3">
      <c r="A210" s="11"/>
      <c r="B210" s="11"/>
      <c r="C210" s="11"/>
      <c r="D210" s="43"/>
      <c r="E210" s="43"/>
      <c r="F210" s="11"/>
      <c r="G210" s="11"/>
      <c r="H210" s="11"/>
      <c r="I210" s="11"/>
      <c r="J210" s="11"/>
      <c r="K210" s="11"/>
      <c r="L210" s="11"/>
      <c r="M210" s="11"/>
      <c r="N210" s="11"/>
      <c r="O210" s="11"/>
      <c r="P210" s="11"/>
      <c r="Q210" s="11"/>
      <c r="R210" s="11"/>
      <c r="S210" s="11"/>
    </row>
    <row r="211" spans="1:19" ht="15.75" customHeight="1" x14ac:dyDescent="0.3">
      <c r="A211" s="11"/>
      <c r="B211" s="11"/>
      <c r="C211" s="11"/>
      <c r="D211" s="43"/>
      <c r="E211" s="43"/>
      <c r="F211" s="11"/>
      <c r="G211" s="11"/>
      <c r="H211" s="11"/>
      <c r="I211" s="11"/>
      <c r="J211" s="11"/>
      <c r="K211" s="11"/>
      <c r="L211" s="11"/>
      <c r="M211" s="11"/>
      <c r="N211" s="11"/>
      <c r="O211" s="11"/>
      <c r="P211" s="11"/>
      <c r="Q211" s="11"/>
      <c r="R211" s="11"/>
      <c r="S211" s="11"/>
    </row>
    <row r="212" spans="1:19" ht="15.75" customHeight="1" x14ac:dyDescent="0.3">
      <c r="A212" s="11"/>
      <c r="B212" s="11"/>
      <c r="C212" s="11"/>
      <c r="D212" s="43"/>
      <c r="E212" s="43"/>
      <c r="F212" s="11"/>
      <c r="G212" s="11"/>
      <c r="H212" s="11"/>
      <c r="I212" s="11"/>
      <c r="J212" s="11"/>
      <c r="K212" s="11"/>
      <c r="L212" s="11"/>
      <c r="M212" s="11"/>
      <c r="N212" s="11"/>
      <c r="O212" s="11"/>
      <c r="P212" s="11"/>
      <c r="Q212" s="11"/>
      <c r="R212" s="11"/>
      <c r="S212" s="11"/>
    </row>
    <row r="213" spans="1:19" ht="15.75" customHeight="1" x14ac:dyDescent="0.3">
      <c r="A213" s="11"/>
      <c r="B213" s="11"/>
      <c r="C213" s="11"/>
      <c r="D213" s="43"/>
      <c r="E213" s="43"/>
      <c r="F213" s="11"/>
      <c r="G213" s="11"/>
      <c r="H213" s="11"/>
      <c r="I213" s="11"/>
      <c r="J213" s="11"/>
      <c r="K213" s="11"/>
      <c r="L213" s="11"/>
      <c r="M213" s="11"/>
      <c r="N213" s="11"/>
      <c r="O213" s="11"/>
      <c r="P213" s="11"/>
      <c r="Q213" s="11"/>
      <c r="R213" s="11"/>
      <c r="S213" s="11"/>
    </row>
    <row r="214" spans="1:19" ht="15.75" customHeight="1" x14ac:dyDescent="0.3">
      <c r="A214" s="11"/>
      <c r="B214" s="11"/>
      <c r="C214" s="11"/>
      <c r="D214" s="43"/>
      <c r="E214" s="43"/>
      <c r="F214" s="11"/>
      <c r="G214" s="11"/>
      <c r="H214" s="11"/>
      <c r="I214" s="11"/>
      <c r="J214" s="11"/>
      <c r="K214" s="11"/>
      <c r="L214" s="11"/>
      <c r="M214" s="11"/>
      <c r="N214" s="11"/>
      <c r="O214" s="11"/>
      <c r="P214" s="11"/>
      <c r="Q214" s="11"/>
      <c r="R214" s="11"/>
      <c r="S214" s="11"/>
    </row>
    <row r="215" spans="1:19" ht="15.75" customHeight="1" x14ac:dyDescent="0.3">
      <c r="A215" s="11"/>
      <c r="B215" s="11"/>
      <c r="C215" s="11"/>
      <c r="D215" s="43"/>
      <c r="E215" s="43"/>
      <c r="F215" s="11"/>
      <c r="G215" s="11"/>
      <c r="H215" s="11"/>
      <c r="I215" s="11"/>
      <c r="J215" s="11"/>
      <c r="K215" s="11"/>
      <c r="L215" s="11"/>
      <c r="M215" s="11"/>
      <c r="N215" s="11"/>
      <c r="O215" s="11"/>
      <c r="P215" s="11"/>
      <c r="Q215" s="11"/>
      <c r="R215" s="11"/>
      <c r="S215" s="11"/>
    </row>
    <row r="216" spans="1:19" ht="15.75" customHeight="1" x14ac:dyDescent="0.3">
      <c r="A216" s="11"/>
      <c r="B216" s="11"/>
      <c r="C216" s="11"/>
      <c r="D216" s="43"/>
      <c r="E216" s="43"/>
      <c r="F216" s="11"/>
      <c r="G216" s="11"/>
      <c r="H216" s="11"/>
      <c r="I216" s="11"/>
      <c r="J216" s="11"/>
      <c r="K216" s="11"/>
      <c r="L216" s="11"/>
      <c r="M216" s="11"/>
      <c r="N216" s="11"/>
      <c r="O216" s="11"/>
      <c r="P216" s="11"/>
      <c r="Q216" s="11"/>
      <c r="R216" s="11"/>
      <c r="S216" s="11"/>
    </row>
    <row r="217" spans="1:19" ht="15.75" customHeight="1" x14ac:dyDescent="0.3">
      <c r="A217" s="11"/>
      <c r="B217" s="11"/>
      <c r="C217" s="11"/>
      <c r="D217" s="43"/>
      <c r="E217" s="43"/>
      <c r="F217" s="11"/>
      <c r="G217" s="11"/>
      <c r="H217" s="11"/>
      <c r="I217" s="11"/>
      <c r="J217" s="11"/>
      <c r="K217" s="11"/>
      <c r="L217" s="11"/>
      <c r="M217" s="11"/>
      <c r="N217" s="11"/>
      <c r="O217" s="11"/>
      <c r="P217" s="11"/>
      <c r="Q217" s="11"/>
      <c r="R217" s="11"/>
      <c r="S217" s="11"/>
    </row>
    <row r="218" spans="1:19" ht="15.75" customHeight="1" x14ac:dyDescent="0.3">
      <c r="A218" s="11"/>
      <c r="B218" s="11"/>
      <c r="C218" s="11"/>
      <c r="D218" s="43"/>
      <c r="E218" s="43"/>
      <c r="F218" s="11"/>
      <c r="G218" s="11"/>
      <c r="H218" s="11"/>
      <c r="I218" s="11"/>
      <c r="J218" s="11"/>
      <c r="K218" s="11"/>
      <c r="L218" s="11"/>
      <c r="M218" s="11"/>
      <c r="N218" s="11"/>
      <c r="O218" s="11"/>
      <c r="P218" s="11"/>
      <c r="Q218" s="11"/>
      <c r="R218" s="11"/>
      <c r="S218" s="11"/>
    </row>
    <row r="219" spans="1:19" ht="15.75" customHeight="1" x14ac:dyDescent="0.3">
      <c r="A219" s="11"/>
      <c r="B219" s="11"/>
      <c r="C219" s="11"/>
      <c r="D219" s="43"/>
      <c r="E219" s="43"/>
      <c r="F219" s="11"/>
      <c r="G219" s="11"/>
      <c r="H219" s="11"/>
      <c r="I219" s="11"/>
      <c r="J219" s="11"/>
      <c r="K219" s="11"/>
      <c r="L219" s="11"/>
      <c r="M219" s="11"/>
      <c r="N219" s="11"/>
      <c r="O219" s="11"/>
      <c r="P219" s="11"/>
      <c r="Q219" s="11"/>
      <c r="R219" s="11"/>
      <c r="S219" s="11"/>
    </row>
    <row r="220" spans="1:19" ht="15.75" customHeight="1" x14ac:dyDescent="0.3">
      <c r="A220" s="11"/>
      <c r="B220" s="11"/>
      <c r="C220" s="11"/>
      <c r="D220" s="43"/>
      <c r="E220" s="43"/>
      <c r="F220" s="11"/>
      <c r="G220" s="11"/>
      <c r="H220" s="11"/>
      <c r="I220" s="11"/>
      <c r="J220" s="11"/>
      <c r="K220" s="11"/>
      <c r="L220" s="11"/>
      <c r="M220" s="11"/>
      <c r="N220" s="11"/>
      <c r="O220" s="11"/>
      <c r="P220" s="11"/>
      <c r="Q220" s="11"/>
      <c r="R220" s="11"/>
      <c r="S220" s="11"/>
    </row>
    <row r="221" spans="1:19" ht="15.75" customHeight="1" x14ac:dyDescent="0.3">
      <c r="A221" s="11"/>
      <c r="B221" s="11"/>
      <c r="C221" s="11"/>
      <c r="D221" s="43"/>
      <c r="E221" s="43"/>
      <c r="F221" s="11"/>
      <c r="G221" s="11"/>
      <c r="H221" s="11"/>
      <c r="I221" s="11"/>
      <c r="J221" s="11"/>
      <c r="K221" s="11"/>
      <c r="L221" s="11"/>
      <c r="M221" s="11"/>
      <c r="N221" s="11"/>
      <c r="O221" s="11"/>
      <c r="P221" s="11"/>
      <c r="Q221" s="11"/>
      <c r="R221" s="11"/>
      <c r="S221" s="11"/>
    </row>
    <row r="222" spans="1:19" ht="15.75" customHeight="1" x14ac:dyDescent="0.3">
      <c r="A222" s="11"/>
      <c r="B222" s="11"/>
      <c r="C222" s="11"/>
      <c r="D222" s="43"/>
      <c r="E222" s="43"/>
      <c r="F222" s="11"/>
      <c r="G222" s="11"/>
      <c r="H222" s="11"/>
      <c r="I222" s="11"/>
      <c r="J222" s="11"/>
      <c r="K222" s="11"/>
      <c r="L222" s="11"/>
      <c r="M222" s="11"/>
      <c r="N222" s="11"/>
      <c r="O222" s="11"/>
      <c r="P222" s="11"/>
      <c r="Q222" s="11"/>
      <c r="R222" s="11"/>
      <c r="S222" s="11"/>
    </row>
    <row r="223" spans="1:19" ht="15.75" customHeight="1" x14ac:dyDescent="0.3">
      <c r="A223" s="11"/>
      <c r="B223" s="11"/>
      <c r="C223" s="11"/>
      <c r="D223" s="43"/>
      <c r="E223" s="43"/>
      <c r="F223" s="11"/>
      <c r="G223" s="11"/>
      <c r="H223" s="11"/>
      <c r="I223" s="11"/>
      <c r="J223" s="11"/>
      <c r="K223" s="11"/>
      <c r="L223" s="11"/>
      <c r="M223" s="11"/>
      <c r="N223" s="11"/>
      <c r="O223" s="11"/>
      <c r="P223" s="11"/>
      <c r="Q223" s="11"/>
      <c r="R223" s="11"/>
      <c r="S223" s="11"/>
    </row>
    <row r="224" spans="1:19" ht="15.75" customHeight="1" x14ac:dyDescent="0.3">
      <c r="A224" s="11"/>
      <c r="B224" s="11"/>
      <c r="C224" s="11"/>
      <c r="D224" s="43"/>
      <c r="E224" s="43"/>
      <c r="F224" s="11"/>
      <c r="G224" s="11"/>
      <c r="H224" s="11"/>
      <c r="I224" s="11"/>
      <c r="J224" s="11"/>
      <c r="K224" s="11"/>
      <c r="L224" s="11"/>
      <c r="M224" s="11"/>
      <c r="N224" s="11"/>
      <c r="O224" s="11"/>
      <c r="P224" s="11"/>
      <c r="Q224" s="11"/>
      <c r="R224" s="11"/>
      <c r="S224" s="11"/>
    </row>
    <row r="225" spans="1:19" ht="15.75" customHeight="1" x14ac:dyDescent="0.3">
      <c r="A225" s="11"/>
      <c r="B225" s="11"/>
      <c r="C225" s="11"/>
      <c r="D225" s="43"/>
      <c r="E225" s="43"/>
      <c r="F225" s="11"/>
      <c r="G225" s="11"/>
      <c r="H225" s="11"/>
      <c r="I225" s="11"/>
      <c r="J225" s="11"/>
      <c r="K225" s="11"/>
      <c r="L225" s="11"/>
      <c r="M225" s="11"/>
      <c r="N225" s="11"/>
      <c r="O225" s="11"/>
      <c r="P225" s="11"/>
      <c r="Q225" s="11"/>
      <c r="R225" s="11"/>
      <c r="S225" s="11"/>
    </row>
    <row r="226" spans="1:19" ht="15.75" customHeight="1" x14ac:dyDescent="0.3">
      <c r="A226" s="11"/>
      <c r="B226" s="11"/>
      <c r="C226" s="11"/>
      <c r="D226" s="43"/>
      <c r="E226" s="43"/>
      <c r="F226" s="11"/>
      <c r="G226" s="11"/>
      <c r="H226" s="11"/>
      <c r="I226" s="11"/>
      <c r="J226" s="11"/>
      <c r="K226" s="11"/>
      <c r="L226" s="11"/>
      <c r="M226" s="11"/>
      <c r="N226" s="11"/>
      <c r="O226" s="11"/>
      <c r="P226" s="11"/>
      <c r="Q226" s="11"/>
      <c r="R226" s="11"/>
      <c r="S226" s="11"/>
    </row>
    <row r="227" spans="1:19" ht="15.75" customHeight="1" x14ac:dyDescent="0.3">
      <c r="A227" s="11"/>
      <c r="B227" s="11"/>
      <c r="C227" s="11"/>
      <c r="D227" s="43"/>
      <c r="E227" s="43"/>
      <c r="F227" s="11"/>
      <c r="G227" s="11"/>
      <c r="H227" s="11"/>
      <c r="I227" s="11"/>
      <c r="J227" s="11"/>
      <c r="K227" s="11"/>
      <c r="L227" s="11"/>
      <c r="M227" s="11"/>
      <c r="N227" s="11"/>
      <c r="O227" s="11"/>
      <c r="P227" s="11"/>
      <c r="Q227" s="11"/>
      <c r="R227" s="11"/>
      <c r="S227" s="11"/>
    </row>
    <row r="228" spans="1:19" ht="15.75" customHeight="1" x14ac:dyDescent="0.3">
      <c r="A228" s="11"/>
      <c r="B228" s="11"/>
      <c r="C228" s="11"/>
      <c r="D228" s="43"/>
      <c r="E228" s="43"/>
      <c r="F228" s="11"/>
      <c r="G228" s="11"/>
      <c r="H228" s="11"/>
      <c r="I228" s="11"/>
      <c r="J228" s="11"/>
      <c r="K228" s="11"/>
      <c r="L228" s="11"/>
      <c r="M228" s="11"/>
      <c r="N228" s="11"/>
      <c r="O228" s="11"/>
      <c r="P228" s="11"/>
      <c r="Q228" s="11"/>
      <c r="R228" s="11"/>
      <c r="S228" s="11"/>
    </row>
    <row r="229" spans="1:19" ht="15.75" customHeight="1" x14ac:dyDescent="0.3">
      <c r="A229" s="11"/>
      <c r="B229" s="11"/>
      <c r="C229" s="11"/>
      <c r="D229" s="43"/>
      <c r="E229" s="43"/>
      <c r="F229" s="11"/>
      <c r="G229" s="11"/>
      <c r="H229" s="11"/>
      <c r="I229" s="11"/>
      <c r="J229" s="11"/>
      <c r="K229" s="11"/>
      <c r="L229" s="11"/>
      <c r="M229" s="11"/>
      <c r="N229" s="11"/>
      <c r="O229" s="11"/>
      <c r="P229" s="11"/>
      <c r="Q229" s="11"/>
      <c r="R229" s="11"/>
      <c r="S229" s="11"/>
    </row>
    <row r="230" spans="1:19" ht="15.75" customHeight="1" x14ac:dyDescent="0.3">
      <c r="A230" s="11"/>
      <c r="B230" s="11"/>
      <c r="C230" s="11"/>
      <c r="D230" s="43"/>
      <c r="E230" s="43"/>
      <c r="F230" s="11"/>
      <c r="G230" s="11"/>
      <c r="H230" s="11"/>
      <c r="I230" s="11"/>
      <c r="J230" s="11"/>
      <c r="K230" s="11"/>
      <c r="L230" s="11"/>
      <c r="M230" s="11"/>
      <c r="N230" s="11"/>
      <c r="O230" s="11"/>
      <c r="P230" s="11"/>
      <c r="Q230" s="11"/>
      <c r="R230" s="11"/>
      <c r="S230" s="11"/>
    </row>
    <row r="231" spans="1:19" ht="15.75" customHeight="1" x14ac:dyDescent="0.3">
      <c r="A231" s="11"/>
      <c r="B231" s="11"/>
      <c r="C231" s="11"/>
      <c r="D231" s="43"/>
      <c r="E231" s="43"/>
      <c r="F231" s="11"/>
      <c r="G231" s="11"/>
      <c r="H231" s="11"/>
      <c r="I231" s="11"/>
      <c r="J231" s="11"/>
      <c r="K231" s="11"/>
      <c r="L231" s="11"/>
      <c r="M231" s="11"/>
      <c r="N231" s="11"/>
      <c r="O231" s="11"/>
      <c r="P231" s="11"/>
      <c r="Q231" s="11"/>
      <c r="R231" s="11"/>
      <c r="S231" s="11"/>
    </row>
    <row r="232" spans="1:19" ht="15.75" customHeight="1" x14ac:dyDescent="0.3">
      <c r="A232" s="11"/>
      <c r="B232" s="11"/>
      <c r="C232" s="11"/>
      <c r="D232" s="43"/>
      <c r="E232" s="43"/>
      <c r="F232" s="11"/>
      <c r="G232" s="11"/>
      <c r="H232" s="11"/>
      <c r="I232" s="11"/>
      <c r="J232" s="11"/>
      <c r="K232" s="11"/>
      <c r="L232" s="11"/>
      <c r="M232" s="11"/>
      <c r="N232" s="11"/>
      <c r="O232" s="11"/>
      <c r="P232" s="11"/>
      <c r="Q232" s="11"/>
      <c r="R232" s="11"/>
      <c r="S232" s="11"/>
    </row>
    <row r="233" spans="1:19" ht="15.75" customHeight="1" x14ac:dyDescent="0.3">
      <c r="A233" s="11"/>
      <c r="B233" s="11"/>
      <c r="C233" s="11"/>
      <c r="D233" s="43"/>
      <c r="E233" s="43"/>
      <c r="F233" s="11"/>
      <c r="G233" s="11"/>
      <c r="H233" s="11"/>
      <c r="I233" s="11"/>
      <c r="J233" s="11"/>
      <c r="K233" s="11"/>
      <c r="L233" s="11"/>
      <c r="M233" s="11"/>
      <c r="N233" s="11"/>
      <c r="O233" s="11"/>
      <c r="P233" s="11"/>
      <c r="Q233" s="11"/>
      <c r="R233" s="11"/>
      <c r="S233" s="11"/>
    </row>
    <row r="234" spans="1:19" ht="15.75" customHeight="1" x14ac:dyDescent="0.3">
      <c r="A234" s="11"/>
      <c r="B234" s="11"/>
      <c r="C234" s="11"/>
      <c r="D234" s="43"/>
      <c r="E234" s="43"/>
      <c r="F234" s="11"/>
      <c r="G234" s="11"/>
      <c r="H234" s="11"/>
      <c r="I234" s="11"/>
      <c r="J234" s="11"/>
      <c r="K234" s="11"/>
      <c r="L234" s="11"/>
      <c r="M234" s="11"/>
      <c r="N234" s="11"/>
      <c r="O234" s="11"/>
      <c r="P234" s="11"/>
      <c r="Q234" s="11"/>
      <c r="R234" s="11"/>
      <c r="S234" s="11"/>
    </row>
    <row r="235" spans="1:19" ht="15.75" customHeight="1" x14ac:dyDescent="0.3">
      <c r="A235" s="11"/>
      <c r="B235" s="11"/>
      <c r="C235" s="11"/>
      <c r="D235" s="43"/>
      <c r="E235" s="43"/>
      <c r="F235" s="11"/>
      <c r="G235" s="11"/>
      <c r="H235" s="11"/>
      <c r="I235" s="11"/>
      <c r="J235" s="11"/>
      <c r="K235" s="11"/>
      <c r="L235" s="11"/>
      <c r="M235" s="11"/>
      <c r="N235" s="11"/>
      <c r="O235" s="11"/>
      <c r="P235" s="11"/>
      <c r="Q235" s="11"/>
      <c r="R235" s="11"/>
      <c r="S235" s="11"/>
    </row>
    <row r="236" spans="1:19" ht="15.75" customHeight="1" x14ac:dyDescent="0.3">
      <c r="A236" s="11"/>
      <c r="B236" s="11"/>
      <c r="C236" s="11"/>
      <c r="D236" s="43"/>
      <c r="E236" s="43"/>
      <c r="F236" s="11"/>
      <c r="G236" s="11"/>
      <c r="H236" s="11"/>
      <c r="I236" s="11"/>
      <c r="J236" s="11"/>
      <c r="K236" s="11"/>
      <c r="L236" s="11"/>
      <c r="M236" s="11"/>
      <c r="N236" s="11"/>
      <c r="O236" s="11"/>
      <c r="P236" s="11"/>
      <c r="Q236" s="11"/>
      <c r="R236" s="11"/>
      <c r="S236" s="11"/>
    </row>
    <row r="237" spans="1:19" ht="15.75" customHeight="1" x14ac:dyDescent="0.3">
      <c r="A237" s="11"/>
      <c r="B237" s="11"/>
      <c r="C237" s="11"/>
      <c r="D237" s="43"/>
      <c r="E237" s="43"/>
      <c r="F237" s="11"/>
      <c r="G237" s="11"/>
      <c r="H237" s="11"/>
      <c r="I237" s="11"/>
      <c r="J237" s="11"/>
      <c r="K237" s="11"/>
      <c r="L237" s="11"/>
      <c r="M237" s="11"/>
      <c r="N237" s="11"/>
      <c r="O237" s="11"/>
      <c r="P237" s="11"/>
      <c r="Q237" s="11"/>
      <c r="R237" s="11"/>
      <c r="S237" s="11"/>
    </row>
    <row r="238" spans="1:19" ht="15.75" customHeight="1" x14ac:dyDescent="0.3">
      <c r="A238" s="11"/>
      <c r="B238" s="11"/>
      <c r="C238" s="11"/>
      <c r="D238" s="43"/>
      <c r="E238" s="43"/>
      <c r="F238" s="11"/>
      <c r="G238" s="11"/>
      <c r="H238" s="11"/>
      <c r="I238" s="11"/>
      <c r="J238" s="11"/>
      <c r="K238" s="11"/>
      <c r="L238" s="11"/>
      <c r="M238" s="11"/>
      <c r="N238" s="11"/>
      <c r="O238" s="11"/>
      <c r="P238" s="11"/>
      <c r="Q238" s="11"/>
      <c r="R238" s="11"/>
      <c r="S238" s="11"/>
    </row>
    <row r="239" spans="1:19" ht="15.75" customHeight="1" x14ac:dyDescent="0.3">
      <c r="A239" s="11"/>
      <c r="B239" s="11"/>
      <c r="C239" s="11"/>
      <c r="D239" s="43"/>
      <c r="E239" s="43"/>
      <c r="F239" s="11"/>
      <c r="G239" s="11"/>
      <c r="H239" s="11"/>
      <c r="I239" s="11"/>
      <c r="J239" s="11"/>
      <c r="K239" s="11"/>
      <c r="L239" s="11"/>
      <c r="M239" s="11"/>
      <c r="N239" s="11"/>
      <c r="O239" s="11"/>
      <c r="P239" s="11"/>
      <c r="Q239" s="11"/>
      <c r="R239" s="11"/>
      <c r="S239" s="11"/>
    </row>
    <row r="240" spans="1:19" ht="15.75" customHeight="1" x14ac:dyDescent="0.3">
      <c r="A240" s="11"/>
      <c r="B240" s="11"/>
      <c r="C240" s="11"/>
      <c r="D240" s="43"/>
      <c r="E240" s="43"/>
      <c r="F240" s="11"/>
      <c r="G240" s="11"/>
      <c r="H240" s="11"/>
      <c r="I240" s="11"/>
      <c r="J240" s="11"/>
      <c r="K240" s="11"/>
      <c r="L240" s="11"/>
      <c r="M240" s="11"/>
      <c r="N240" s="11"/>
      <c r="O240" s="11"/>
      <c r="P240" s="11"/>
      <c r="Q240" s="11"/>
      <c r="R240" s="11"/>
      <c r="S240" s="11"/>
    </row>
    <row r="241" spans="1:19" ht="15.75" customHeight="1" x14ac:dyDescent="0.3">
      <c r="A241" s="11"/>
      <c r="B241" s="11"/>
      <c r="C241" s="11"/>
      <c r="D241" s="43"/>
      <c r="E241" s="43"/>
      <c r="F241" s="11"/>
      <c r="G241" s="11"/>
      <c r="H241" s="11"/>
      <c r="I241" s="11"/>
      <c r="J241" s="11"/>
      <c r="K241" s="11"/>
      <c r="L241" s="11"/>
      <c r="M241" s="11"/>
      <c r="N241" s="11"/>
      <c r="O241" s="11"/>
      <c r="P241" s="11"/>
      <c r="Q241" s="11"/>
      <c r="R241" s="11"/>
      <c r="S241" s="11"/>
    </row>
    <row r="242" spans="1:19" ht="15.75" customHeight="1" x14ac:dyDescent="0.3">
      <c r="A242" s="11"/>
      <c r="B242" s="11"/>
      <c r="C242" s="11"/>
      <c r="D242" s="43"/>
      <c r="E242" s="43"/>
      <c r="F242" s="11"/>
      <c r="G242" s="11"/>
      <c r="H242" s="11"/>
      <c r="I242" s="11"/>
      <c r="J242" s="11"/>
      <c r="K242" s="11"/>
      <c r="L242" s="11"/>
      <c r="M242" s="11"/>
      <c r="N242" s="11"/>
      <c r="O242" s="11"/>
      <c r="P242" s="11"/>
      <c r="Q242" s="11"/>
      <c r="R242" s="11"/>
      <c r="S242" s="11"/>
    </row>
    <row r="243" spans="1:19" ht="15.75" customHeight="1" x14ac:dyDescent="0.3">
      <c r="A243" s="11"/>
      <c r="B243" s="11"/>
      <c r="C243" s="11"/>
      <c r="D243" s="43"/>
      <c r="E243" s="43"/>
      <c r="F243" s="11"/>
      <c r="G243" s="11"/>
      <c r="H243" s="11"/>
      <c r="I243" s="11"/>
      <c r="J243" s="11"/>
      <c r="K243" s="11"/>
      <c r="L243" s="11"/>
      <c r="M243" s="11"/>
      <c r="N243" s="11"/>
      <c r="O243" s="11"/>
      <c r="P243" s="11"/>
      <c r="Q243" s="11"/>
      <c r="R243" s="11"/>
      <c r="S243" s="11"/>
    </row>
    <row r="244" spans="1:19" ht="15.75" customHeight="1" x14ac:dyDescent="0.3">
      <c r="A244" s="11"/>
      <c r="B244" s="11"/>
      <c r="C244" s="11"/>
      <c r="D244" s="43"/>
      <c r="E244" s="43"/>
      <c r="F244" s="11"/>
      <c r="G244" s="11"/>
      <c r="H244" s="11"/>
      <c r="I244" s="11"/>
      <c r="J244" s="11"/>
      <c r="K244" s="11"/>
      <c r="L244" s="11"/>
      <c r="M244" s="11"/>
      <c r="N244" s="11"/>
      <c r="O244" s="11"/>
      <c r="P244" s="11"/>
      <c r="Q244" s="11"/>
      <c r="R244" s="11"/>
      <c r="S244" s="11"/>
    </row>
    <row r="245" spans="1:19" ht="15.75" customHeight="1" x14ac:dyDescent="0.3">
      <c r="A245" s="11"/>
      <c r="B245" s="11"/>
      <c r="C245" s="11"/>
      <c r="D245" s="43"/>
      <c r="E245" s="43"/>
      <c r="F245" s="11"/>
      <c r="G245" s="11"/>
      <c r="H245" s="11"/>
      <c r="I245" s="11"/>
      <c r="J245" s="11"/>
      <c r="K245" s="11"/>
      <c r="L245" s="11"/>
      <c r="M245" s="11"/>
      <c r="N245" s="11"/>
      <c r="O245" s="11"/>
      <c r="P245" s="11"/>
      <c r="Q245" s="11"/>
      <c r="R245" s="11"/>
      <c r="S245" s="11"/>
    </row>
    <row r="246" spans="1:19" ht="15.75" customHeight="1" x14ac:dyDescent="0.3">
      <c r="A246" s="11"/>
      <c r="B246" s="11"/>
      <c r="C246" s="11"/>
      <c r="D246" s="43"/>
      <c r="E246" s="43"/>
      <c r="F246" s="11"/>
      <c r="G246" s="11"/>
      <c r="H246" s="11"/>
      <c r="I246" s="11"/>
      <c r="J246" s="11"/>
      <c r="K246" s="11"/>
      <c r="L246" s="11"/>
      <c r="M246" s="11"/>
      <c r="N246" s="11"/>
      <c r="O246" s="11"/>
      <c r="P246" s="11"/>
      <c r="Q246" s="11"/>
      <c r="R246" s="11"/>
      <c r="S246" s="11"/>
    </row>
    <row r="247" spans="1:19" ht="15.75" customHeight="1" x14ac:dyDescent="0.3">
      <c r="A247" s="11"/>
      <c r="B247" s="11"/>
      <c r="C247" s="11"/>
      <c r="D247" s="43"/>
      <c r="E247" s="43"/>
      <c r="F247" s="11"/>
      <c r="G247" s="11"/>
      <c r="H247" s="11"/>
      <c r="I247" s="11"/>
      <c r="J247" s="11"/>
      <c r="K247" s="11"/>
      <c r="L247" s="11"/>
      <c r="M247" s="11"/>
      <c r="N247" s="11"/>
      <c r="O247" s="11"/>
      <c r="P247" s="11"/>
      <c r="Q247" s="11"/>
      <c r="R247" s="11"/>
      <c r="S247" s="11"/>
    </row>
    <row r="248" spans="1:19" ht="15.75" customHeight="1" x14ac:dyDescent="0.3">
      <c r="A248" s="11"/>
      <c r="B248" s="11"/>
      <c r="C248" s="11"/>
      <c r="D248" s="43"/>
      <c r="E248" s="43"/>
      <c r="F248" s="11"/>
      <c r="G248" s="11"/>
      <c r="H248" s="11"/>
      <c r="I248" s="11"/>
      <c r="J248" s="11"/>
      <c r="K248" s="11"/>
      <c r="L248" s="11"/>
      <c r="M248" s="11"/>
      <c r="N248" s="11"/>
      <c r="O248" s="11"/>
      <c r="P248" s="11"/>
      <c r="Q248" s="11"/>
      <c r="R248" s="11"/>
      <c r="S248" s="11"/>
    </row>
    <row r="249" spans="1:19" ht="15.75" customHeight="1" x14ac:dyDescent="0.3">
      <c r="A249" s="11"/>
      <c r="B249" s="11"/>
      <c r="C249" s="11"/>
      <c r="D249" s="43"/>
      <c r="E249" s="43"/>
      <c r="F249" s="11"/>
      <c r="G249" s="11"/>
      <c r="H249" s="11"/>
      <c r="I249" s="11"/>
      <c r="J249" s="11"/>
      <c r="K249" s="11"/>
      <c r="L249" s="11"/>
      <c r="M249" s="11"/>
      <c r="N249" s="11"/>
      <c r="O249" s="11"/>
      <c r="P249" s="11"/>
      <c r="Q249" s="11"/>
      <c r="R249" s="11"/>
      <c r="S249" s="11"/>
    </row>
    <row r="250" spans="1:19" ht="15.75" customHeight="1" x14ac:dyDescent="0.3">
      <c r="A250" s="11"/>
      <c r="B250" s="11"/>
      <c r="C250" s="11"/>
      <c r="D250" s="43"/>
      <c r="E250" s="43"/>
      <c r="F250" s="11"/>
      <c r="G250" s="11"/>
      <c r="H250" s="11"/>
      <c r="I250" s="11"/>
      <c r="J250" s="11"/>
      <c r="K250" s="11"/>
      <c r="L250" s="11"/>
      <c r="M250" s="11"/>
      <c r="N250" s="11"/>
      <c r="O250" s="11"/>
      <c r="P250" s="11"/>
      <c r="Q250" s="11"/>
      <c r="R250" s="11"/>
      <c r="S250" s="11"/>
    </row>
    <row r="251" spans="1:19" ht="15.75" customHeight="1" x14ac:dyDescent="0.3">
      <c r="A251" s="11"/>
      <c r="B251" s="11"/>
      <c r="C251" s="11"/>
      <c r="D251" s="43"/>
      <c r="E251" s="43"/>
      <c r="F251" s="11"/>
      <c r="G251" s="11"/>
      <c r="H251" s="11"/>
      <c r="I251" s="11"/>
      <c r="J251" s="11"/>
      <c r="K251" s="11"/>
      <c r="L251" s="11"/>
      <c r="M251" s="11"/>
      <c r="N251" s="11"/>
      <c r="O251" s="11"/>
      <c r="P251" s="11"/>
      <c r="Q251" s="11"/>
      <c r="R251" s="11"/>
      <c r="S251" s="11"/>
    </row>
    <row r="252" spans="1:19" ht="15.75" customHeight="1" x14ac:dyDescent="0.3">
      <c r="A252" s="11"/>
      <c r="B252" s="11"/>
      <c r="C252" s="11"/>
      <c r="D252" s="43"/>
      <c r="E252" s="43"/>
      <c r="F252" s="11"/>
      <c r="G252" s="11"/>
      <c r="H252" s="11"/>
      <c r="I252" s="11"/>
      <c r="J252" s="11"/>
      <c r="K252" s="11"/>
      <c r="L252" s="11"/>
      <c r="M252" s="11"/>
      <c r="N252" s="11"/>
      <c r="O252" s="11"/>
      <c r="P252" s="11"/>
      <c r="Q252" s="11"/>
      <c r="R252" s="11"/>
      <c r="S252" s="11"/>
    </row>
    <row r="253" spans="1:19" ht="15.75" customHeight="1" x14ac:dyDescent="0.3">
      <c r="A253" s="11"/>
      <c r="B253" s="11"/>
      <c r="C253" s="11"/>
      <c r="D253" s="43"/>
      <c r="E253" s="43"/>
      <c r="F253" s="11"/>
      <c r="G253" s="11"/>
      <c r="H253" s="11"/>
      <c r="I253" s="11"/>
      <c r="J253" s="11"/>
      <c r="K253" s="11"/>
      <c r="L253" s="11"/>
      <c r="M253" s="11"/>
      <c r="N253" s="11"/>
      <c r="O253" s="11"/>
      <c r="P253" s="11"/>
      <c r="Q253" s="11"/>
      <c r="R253" s="11"/>
      <c r="S253" s="11"/>
    </row>
    <row r="254" spans="1:19" ht="15.75" customHeight="1" x14ac:dyDescent="0.3">
      <c r="A254" s="11"/>
      <c r="B254" s="11"/>
      <c r="C254" s="11"/>
      <c r="D254" s="43"/>
      <c r="E254" s="43"/>
      <c r="F254" s="11"/>
      <c r="G254" s="11"/>
      <c r="H254" s="11"/>
      <c r="I254" s="11"/>
      <c r="J254" s="11"/>
      <c r="K254" s="11"/>
      <c r="L254" s="11"/>
      <c r="M254" s="11"/>
      <c r="N254" s="11"/>
      <c r="O254" s="11"/>
      <c r="P254" s="11"/>
      <c r="Q254" s="11"/>
      <c r="R254" s="11"/>
      <c r="S254" s="11"/>
    </row>
    <row r="255" spans="1:19" ht="15.75" customHeight="1" x14ac:dyDescent="0.3">
      <c r="A255" s="11"/>
      <c r="B255" s="11"/>
      <c r="C255" s="11"/>
      <c r="D255" s="43"/>
      <c r="E255" s="43"/>
      <c r="F255" s="11"/>
      <c r="G255" s="11"/>
      <c r="H255" s="11"/>
      <c r="I255" s="11"/>
      <c r="J255" s="11"/>
      <c r="K255" s="11"/>
      <c r="L255" s="11"/>
      <c r="M255" s="11"/>
      <c r="N255" s="11"/>
      <c r="O255" s="11"/>
      <c r="P255" s="11"/>
      <c r="Q255" s="11"/>
      <c r="R255" s="11"/>
      <c r="S255" s="11"/>
    </row>
    <row r="256" spans="1:19" ht="15.75" customHeight="1" x14ac:dyDescent="0.3">
      <c r="A256" s="11"/>
      <c r="B256" s="11"/>
      <c r="C256" s="11"/>
      <c r="D256" s="43"/>
      <c r="E256" s="43"/>
      <c r="F256" s="11"/>
      <c r="G256" s="11"/>
      <c r="H256" s="11"/>
      <c r="I256" s="11"/>
      <c r="J256" s="11"/>
      <c r="K256" s="11"/>
      <c r="L256" s="11"/>
      <c r="M256" s="11"/>
      <c r="N256" s="11"/>
      <c r="O256" s="11"/>
      <c r="P256" s="11"/>
      <c r="Q256" s="11"/>
      <c r="R256" s="11"/>
      <c r="S256" s="11"/>
    </row>
    <row r="257" spans="1:19" ht="15.75" customHeight="1" x14ac:dyDescent="0.3">
      <c r="A257" s="11"/>
      <c r="B257" s="11"/>
      <c r="C257" s="11"/>
      <c r="D257" s="43"/>
      <c r="E257" s="43"/>
      <c r="F257" s="11"/>
      <c r="G257" s="11"/>
      <c r="H257" s="11"/>
      <c r="I257" s="11"/>
      <c r="J257" s="11"/>
      <c r="K257" s="11"/>
      <c r="L257" s="11"/>
      <c r="M257" s="11"/>
      <c r="N257" s="11"/>
      <c r="O257" s="11"/>
      <c r="P257" s="11"/>
      <c r="Q257" s="11"/>
      <c r="R257" s="11"/>
      <c r="S257" s="11"/>
    </row>
    <row r="258" spans="1:19" ht="15.75" customHeight="1" x14ac:dyDescent="0.3">
      <c r="A258" s="11"/>
      <c r="B258" s="11"/>
      <c r="C258" s="11"/>
      <c r="D258" s="43"/>
      <c r="E258" s="43"/>
      <c r="F258" s="11"/>
      <c r="G258" s="11"/>
      <c r="H258" s="11"/>
      <c r="I258" s="11"/>
      <c r="J258" s="11"/>
      <c r="K258" s="11"/>
      <c r="L258" s="11"/>
      <c r="M258" s="11"/>
      <c r="N258" s="11"/>
      <c r="O258" s="11"/>
      <c r="P258" s="11"/>
      <c r="Q258" s="11"/>
      <c r="R258" s="11"/>
      <c r="S258" s="11"/>
    </row>
    <row r="259" spans="1:19" ht="15.75" customHeight="1" x14ac:dyDescent="0.3">
      <c r="A259" s="11"/>
      <c r="B259" s="11"/>
      <c r="C259" s="11"/>
      <c r="D259" s="43"/>
      <c r="E259" s="43"/>
      <c r="F259" s="11"/>
      <c r="G259" s="11"/>
      <c r="H259" s="11"/>
      <c r="I259" s="11"/>
      <c r="J259" s="11"/>
      <c r="K259" s="11"/>
      <c r="L259" s="11"/>
      <c r="M259" s="11"/>
      <c r="N259" s="11"/>
      <c r="O259" s="11"/>
      <c r="P259" s="11"/>
      <c r="Q259" s="11"/>
      <c r="R259" s="11"/>
      <c r="S259" s="11"/>
    </row>
    <row r="260" spans="1:19" ht="15.75" customHeight="1" x14ac:dyDescent="0.3">
      <c r="A260" s="11"/>
      <c r="B260" s="11"/>
      <c r="C260" s="11"/>
      <c r="D260" s="43"/>
      <c r="E260" s="43"/>
      <c r="F260" s="11"/>
      <c r="G260" s="11"/>
      <c r="H260" s="11"/>
      <c r="I260" s="11"/>
      <c r="J260" s="11"/>
      <c r="K260" s="11"/>
      <c r="L260" s="11"/>
      <c r="M260" s="11"/>
      <c r="N260" s="11"/>
      <c r="O260" s="11"/>
      <c r="P260" s="11"/>
      <c r="Q260" s="11"/>
      <c r="R260" s="11"/>
      <c r="S260" s="11"/>
    </row>
    <row r="261" spans="1:19" ht="15.75" customHeight="1" x14ac:dyDescent="0.3">
      <c r="A261" s="11"/>
      <c r="B261" s="11"/>
      <c r="C261" s="11"/>
      <c r="D261" s="43"/>
      <c r="E261" s="43"/>
      <c r="F261" s="11"/>
      <c r="G261" s="11"/>
      <c r="H261" s="11"/>
      <c r="I261" s="11"/>
      <c r="J261" s="11"/>
      <c r="K261" s="11"/>
      <c r="L261" s="11"/>
      <c r="M261" s="11"/>
      <c r="N261" s="11"/>
      <c r="O261" s="11"/>
      <c r="P261" s="11"/>
      <c r="Q261" s="11"/>
      <c r="R261" s="11"/>
      <c r="S261" s="11"/>
    </row>
    <row r="262" spans="1:19" ht="15.75" customHeight="1" x14ac:dyDescent="0.3">
      <c r="A262" s="11"/>
      <c r="B262" s="11"/>
      <c r="C262" s="11"/>
      <c r="D262" s="43"/>
      <c r="E262" s="43"/>
      <c r="F262" s="11"/>
      <c r="G262" s="11"/>
      <c r="H262" s="11"/>
      <c r="I262" s="11"/>
      <c r="J262" s="11"/>
      <c r="K262" s="11"/>
      <c r="L262" s="11"/>
      <c r="M262" s="11"/>
      <c r="N262" s="11"/>
      <c r="O262" s="11"/>
      <c r="P262" s="11"/>
      <c r="Q262" s="11"/>
      <c r="R262" s="11"/>
      <c r="S262" s="11"/>
    </row>
    <row r="263" spans="1:19" ht="15.75" customHeight="1" x14ac:dyDescent="0.3">
      <c r="A263" s="11"/>
      <c r="B263" s="11"/>
      <c r="C263" s="11"/>
      <c r="D263" s="43"/>
      <c r="E263" s="43"/>
      <c r="F263" s="11"/>
      <c r="G263" s="11"/>
      <c r="H263" s="11"/>
      <c r="I263" s="11"/>
      <c r="J263" s="11"/>
      <c r="K263" s="11"/>
      <c r="L263" s="11"/>
      <c r="M263" s="11"/>
      <c r="N263" s="11"/>
      <c r="O263" s="11"/>
      <c r="P263" s="11"/>
      <c r="Q263" s="11"/>
      <c r="R263" s="11"/>
      <c r="S263" s="11"/>
    </row>
    <row r="264" spans="1:19" ht="15.75" customHeight="1" x14ac:dyDescent="0.3">
      <c r="A264" s="11"/>
      <c r="B264" s="11"/>
      <c r="C264" s="11"/>
      <c r="D264" s="43"/>
      <c r="E264" s="43"/>
      <c r="F264" s="11"/>
      <c r="G264" s="11"/>
      <c r="H264" s="11"/>
      <c r="I264" s="11"/>
      <c r="J264" s="11"/>
      <c r="K264" s="11"/>
      <c r="L264" s="11"/>
      <c r="M264" s="11"/>
      <c r="N264" s="11"/>
      <c r="O264" s="11"/>
      <c r="P264" s="11"/>
      <c r="Q264" s="11"/>
      <c r="R264" s="11"/>
      <c r="S264" s="11"/>
    </row>
    <row r="265" spans="1:19" ht="15.75" customHeight="1" x14ac:dyDescent="0.3">
      <c r="A265" s="11"/>
      <c r="B265" s="11"/>
      <c r="C265" s="11"/>
      <c r="D265" s="43"/>
      <c r="E265" s="43"/>
      <c r="F265" s="11"/>
      <c r="G265" s="11"/>
      <c r="H265" s="11"/>
      <c r="I265" s="11"/>
      <c r="J265" s="11"/>
      <c r="K265" s="11"/>
      <c r="L265" s="11"/>
      <c r="M265" s="11"/>
      <c r="N265" s="11"/>
      <c r="O265" s="11"/>
      <c r="P265" s="11"/>
      <c r="Q265" s="11"/>
      <c r="R265" s="11"/>
      <c r="S265" s="11"/>
    </row>
    <row r="266" spans="1:19" ht="15.75" customHeight="1" x14ac:dyDescent="0.3">
      <c r="A266" s="11"/>
      <c r="B266" s="11"/>
      <c r="C266" s="11"/>
      <c r="D266" s="43"/>
      <c r="E266" s="43"/>
      <c r="F266" s="11"/>
      <c r="G266" s="11"/>
      <c r="H266" s="11"/>
      <c r="I266" s="11"/>
      <c r="J266" s="11"/>
      <c r="K266" s="11"/>
      <c r="L266" s="11"/>
      <c r="M266" s="11"/>
      <c r="N266" s="11"/>
      <c r="O266" s="11"/>
      <c r="P266" s="11"/>
      <c r="Q266" s="11"/>
      <c r="R266" s="11"/>
      <c r="S266" s="11"/>
    </row>
  </sheetData>
  <mergeCells count="18">
    <mergeCell ref="D16:J16"/>
    <mergeCell ref="G15:I15"/>
    <mergeCell ref="A1:J1"/>
    <mergeCell ref="G6:I6"/>
    <mergeCell ref="D7:J7"/>
    <mergeCell ref="G10:I10"/>
    <mergeCell ref="D11:J11"/>
    <mergeCell ref="B66:J66"/>
    <mergeCell ref="B17:J17"/>
    <mergeCell ref="G54:I54"/>
    <mergeCell ref="D55:J55"/>
    <mergeCell ref="B56:J56"/>
    <mergeCell ref="G57:I57"/>
    <mergeCell ref="D64:J64"/>
    <mergeCell ref="D58:J58"/>
    <mergeCell ref="B59:J59"/>
    <mergeCell ref="G61:I61"/>
    <mergeCell ref="D62:J62"/>
  </mergeCells>
  <printOptions horizontalCentered="1"/>
  <pageMargins left="0.19685039370078741" right="0.19685039370078741" top="0.19685039370078741" bottom="0.19685039370078741" header="0" footer="0"/>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258"/>
  <sheetViews>
    <sheetView topLeftCell="A2" workbookViewId="0"/>
  </sheetViews>
  <sheetFormatPr defaultColWidth="14.33203125" defaultRowHeight="15" customHeight="1" x14ac:dyDescent="0.3"/>
  <cols>
    <col min="1" max="1" width="5" customWidth="1"/>
    <col min="2" max="2" width="38" customWidth="1"/>
    <col min="3" max="3" width="20.6640625" customWidth="1"/>
    <col min="4" max="4" width="16.33203125" customWidth="1"/>
    <col min="5" max="6" width="11.88671875" customWidth="1"/>
    <col min="7" max="7" width="10.33203125" customWidth="1"/>
    <col min="8" max="8" width="21.109375" customWidth="1"/>
    <col min="9" max="9" width="7.33203125" customWidth="1"/>
    <col min="10" max="26" width="8.88671875" customWidth="1"/>
  </cols>
  <sheetData>
    <row r="1" spans="1:26" ht="60.75" hidden="1" customHeight="1" x14ac:dyDescent="0.3">
      <c r="A1" s="214" t="s">
        <v>318</v>
      </c>
      <c r="B1" s="194"/>
      <c r="C1" s="194"/>
      <c r="D1" s="194"/>
      <c r="E1" s="194"/>
      <c r="F1" s="194"/>
      <c r="G1" s="194"/>
      <c r="H1" s="194"/>
      <c r="I1" s="194"/>
      <c r="J1" s="44"/>
      <c r="K1" s="44"/>
      <c r="L1" s="44"/>
      <c r="M1" s="44"/>
      <c r="N1" s="44"/>
      <c r="O1" s="44"/>
      <c r="P1" s="44"/>
      <c r="Q1" s="44"/>
      <c r="R1" s="44"/>
      <c r="S1" s="44"/>
      <c r="T1" s="44"/>
      <c r="U1" s="44"/>
      <c r="V1" s="44"/>
      <c r="W1" s="44"/>
      <c r="X1" s="44"/>
      <c r="Y1" s="44"/>
      <c r="Z1" s="44"/>
    </row>
    <row r="2" spans="1:26" ht="14.25" customHeight="1" x14ac:dyDescent="0.3">
      <c r="A2" s="10"/>
      <c r="B2" s="45"/>
      <c r="C2" s="45"/>
      <c r="D2" s="45"/>
      <c r="E2" s="45"/>
      <c r="F2" s="45"/>
      <c r="G2" s="45"/>
      <c r="H2" s="215" t="s">
        <v>250</v>
      </c>
      <c r="I2" s="194"/>
      <c r="J2" s="44"/>
      <c r="K2" s="44"/>
      <c r="L2" s="44"/>
      <c r="M2" s="44"/>
      <c r="N2" s="44"/>
      <c r="O2" s="44"/>
      <c r="P2" s="44"/>
      <c r="Q2" s="44"/>
      <c r="R2" s="44"/>
      <c r="S2" s="44"/>
      <c r="T2" s="44"/>
      <c r="U2" s="44"/>
      <c r="V2" s="44"/>
      <c r="W2" s="44"/>
      <c r="X2" s="44"/>
      <c r="Y2" s="44"/>
      <c r="Z2" s="44"/>
    </row>
    <row r="3" spans="1:26" ht="14.25" customHeight="1" x14ac:dyDescent="0.3">
      <c r="A3" s="216" t="s">
        <v>192</v>
      </c>
      <c r="B3" s="194"/>
      <c r="C3" s="46"/>
      <c r="D3" s="46"/>
      <c r="E3" s="47"/>
      <c r="F3" s="217" t="s">
        <v>0</v>
      </c>
      <c r="G3" s="194"/>
      <c r="H3" s="194"/>
      <c r="I3" s="194"/>
      <c r="J3" s="44"/>
      <c r="K3" s="44"/>
      <c r="L3" s="44"/>
      <c r="M3" s="44"/>
      <c r="N3" s="44"/>
      <c r="O3" s="44"/>
      <c r="P3" s="44"/>
      <c r="Q3" s="44"/>
      <c r="R3" s="44"/>
      <c r="S3" s="44"/>
      <c r="T3" s="44"/>
      <c r="U3" s="44"/>
      <c r="V3" s="44"/>
      <c r="W3" s="44"/>
      <c r="X3" s="44"/>
      <c r="Y3" s="44"/>
      <c r="Z3" s="44"/>
    </row>
    <row r="4" spans="1:26" ht="14.25" customHeight="1" x14ac:dyDescent="0.3">
      <c r="A4" s="194"/>
      <c r="B4" s="194"/>
      <c r="C4" s="46"/>
      <c r="D4" s="46"/>
      <c r="E4" s="47"/>
      <c r="F4" s="218" t="s">
        <v>102</v>
      </c>
      <c r="G4" s="194"/>
      <c r="H4" s="194"/>
      <c r="I4" s="194"/>
      <c r="J4" s="44"/>
      <c r="K4" s="44"/>
      <c r="L4" s="44"/>
      <c r="M4" s="44"/>
      <c r="N4" s="44"/>
      <c r="O4" s="44"/>
      <c r="P4" s="44"/>
      <c r="Q4" s="44"/>
      <c r="R4" s="44"/>
      <c r="S4" s="44"/>
      <c r="T4" s="44"/>
      <c r="U4" s="44"/>
      <c r="V4" s="44"/>
      <c r="W4" s="44"/>
      <c r="X4" s="44"/>
      <c r="Y4" s="44"/>
      <c r="Z4" s="44"/>
    </row>
    <row r="5" spans="1:26" ht="51" customHeight="1" x14ac:dyDescent="0.3">
      <c r="A5" s="213" t="s">
        <v>319</v>
      </c>
      <c r="B5" s="194"/>
      <c r="C5" s="194"/>
      <c r="D5" s="194"/>
      <c r="E5" s="194"/>
      <c r="F5" s="194"/>
      <c r="G5" s="194"/>
      <c r="H5" s="194"/>
      <c r="I5" s="194"/>
      <c r="J5" s="44"/>
      <c r="K5" s="44"/>
      <c r="L5" s="44"/>
      <c r="M5" s="44"/>
      <c r="N5" s="44"/>
      <c r="O5" s="44"/>
      <c r="P5" s="44"/>
      <c r="Q5" s="44"/>
      <c r="R5" s="44"/>
      <c r="S5" s="44"/>
      <c r="T5" s="44"/>
      <c r="U5" s="44"/>
      <c r="V5" s="44"/>
      <c r="W5" s="44"/>
      <c r="X5" s="44"/>
      <c r="Y5" s="44"/>
      <c r="Z5" s="44"/>
    </row>
    <row r="6" spans="1:26" ht="14.25" customHeight="1" x14ac:dyDescent="0.3">
      <c r="A6" s="219" t="s">
        <v>252</v>
      </c>
      <c r="B6" s="194"/>
      <c r="C6" s="194"/>
      <c r="D6" s="194"/>
      <c r="E6" s="194"/>
      <c r="F6" s="194"/>
      <c r="G6" s="194"/>
      <c r="H6" s="194"/>
      <c r="I6" s="194"/>
      <c r="J6" s="44"/>
      <c r="K6" s="44"/>
      <c r="L6" s="44"/>
      <c r="M6" s="44"/>
      <c r="N6" s="44"/>
      <c r="O6" s="44"/>
      <c r="P6" s="44"/>
      <c r="Q6" s="44"/>
      <c r="R6" s="44"/>
      <c r="S6" s="44"/>
      <c r="T6" s="44"/>
      <c r="U6" s="44"/>
      <c r="V6" s="44"/>
      <c r="W6" s="44"/>
      <c r="X6" s="44"/>
      <c r="Y6" s="44"/>
      <c r="Z6" s="44"/>
    </row>
    <row r="7" spans="1:26" ht="14.25" customHeight="1" x14ac:dyDescent="0.3">
      <c r="A7" s="49"/>
      <c r="B7" s="220" t="s">
        <v>253</v>
      </c>
      <c r="C7" s="208"/>
      <c r="D7" s="208"/>
      <c r="E7" s="208"/>
      <c r="F7" s="208"/>
      <c r="G7" s="208"/>
      <c r="H7" s="208"/>
      <c r="I7" s="209"/>
      <c r="J7" s="44"/>
      <c r="K7" s="44"/>
      <c r="L7" s="44"/>
      <c r="M7" s="44"/>
      <c r="N7" s="44"/>
      <c r="O7" s="44"/>
      <c r="P7" s="44"/>
      <c r="Q7" s="44"/>
      <c r="R7" s="44"/>
      <c r="S7" s="44"/>
      <c r="T7" s="44"/>
      <c r="U7" s="44"/>
      <c r="V7" s="44"/>
      <c r="W7" s="44"/>
      <c r="X7" s="44"/>
      <c r="Y7" s="44"/>
      <c r="Z7" s="44"/>
    </row>
    <row r="8" spans="1:26" ht="14.25" customHeight="1" x14ac:dyDescent="0.3">
      <c r="A8" s="49"/>
      <c r="B8" s="220" t="s">
        <v>106</v>
      </c>
      <c r="C8" s="208"/>
      <c r="D8" s="208"/>
      <c r="E8" s="208"/>
      <c r="F8" s="208"/>
      <c r="G8" s="208"/>
      <c r="H8" s="208"/>
      <c r="I8" s="209"/>
      <c r="J8" s="44"/>
      <c r="K8" s="44"/>
      <c r="L8" s="44"/>
      <c r="M8" s="44"/>
      <c r="N8" s="44"/>
      <c r="O8" s="44"/>
      <c r="P8" s="44"/>
      <c r="Q8" s="44"/>
      <c r="R8" s="44"/>
      <c r="S8" s="44"/>
      <c r="T8" s="44"/>
      <c r="U8" s="44"/>
      <c r="V8" s="44"/>
      <c r="W8" s="44"/>
      <c r="X8" s="44"/>
      <c r="Y8" s="44"/>
      <c r="Z8" s="44"/>
    </row>
    <row r="9" spans="1:26" ht="14.25" customHeight="1" x14ac:dyDescent="0.3">
      <c r="A9" s="49"/>
      <c r="B9" s="220" t="s">
        <v>254</v>
      </c>
      <c r="C9" s="208"/>
      <c r="D9" s="208"/>
      <c r="E9" s="208"/>
      <c r="F9" s="208"/>
      <c r="G9" s="208"/>
      <c r="H9" s="208"/>
      <c r="I9" s="209"/>
      <c r="J9" s="44"/>
      <c r="K9" s="44"/>
      <c r="L9" s="44"/>
      <c r="M9" s="44"/>
      <c r="N9" s="44"/>
      <c r="O9" s="44"/>
      <c r="P9" s="44"/>
      <c r="Q9" s="44"/>
      <c r="R9" s="44"/>
      <c r="S9" s="44"/>
      <c r="T9" s="44"/>
      <c r="U9" s="44"/>
      <c r="V9" s="44"/>
      <c r="W9" s="44"/>
      <c r="X9" s="44"/>
      <c r="Y9" s="44"/>
      <c r="Z9" s="44"/>
    </row>
    <row r="10" spans="1:26" ht="14.25" customHeight="1" x14ac:dyDescent="0.3">
      <c r="A10" s="49"/>
      <c r="B10" s="220" t="s">
        <v>108</v>
      </c>
      <c r="C10" s="208"/>
      <c r="D10" s="208"/>
      <c r="E10" s="208"/>
      <c r="F10" s="208"/>
      <c r="G10" s="208"/>
      <c r="H10" s="208"/>
      <c r="I10" s="209"/>
      <c r="J10" s="44"/>
      <c r="K10" s="44"/>
      <c r="L10" s="44"/>
      <c r="M10" s="44"/>
      <c r="N10" s="44"/>
      <c r="O10" s="44"/>
      <c r="P10" s="44"/>
      <c r="Q10" s="44"/>
      <c r="R10" s="44"/>
      <c r="S10" s="44"/>
      <c r="T10" s="44"/>
      <c r="U10" s="44"/>
      <c r="V10" s="44"/>
      <c r="W10" s="44"/>
      <c r="X10" s="44"/>
      <c r="Y10" s="44"/>
      <c r="Z10" s="44"/>
    </row>
    <row r="11" spans="1:26" ht="14.25" customHeight="1" x14ac:dyDescent="0.3">
      <c r="A11" s="49"/>
      <c r="B11" s="222" t="s">
        <v>255</v>
      </c>
      <c r="C11" s="208"/>
      <c r="D11" s="208"/>
      <c r="E11" s="208"/>
      <c r="F11" s="208"/>
      <c r="G11" s="208"/>
      <c r="H11" s="208"/>
      <c r="I11" s="209"/>
      <c r="J11" s="44"/>
      <c r="K11" s="44"/>
      <c r="L11" s="44"/>
      <c r="M11" s="44"/>
      <c r="N11" s="44"/>
      <c r="O11" s="44"/>
      <c r="P11" s="44"/>
      <c r="Q11" s="44"/>
      <c r="R11" s="44"/>
      <c r="S11" s="44"/>
      <c r="T11" s="44"/>
      <c r="U11" s="44"/>
      <c r="V11" s="44"/>
      <c r="W11" s="44"/>
      <c r="X11" s="44"/>
      <c r="Y11" s="44"/>
      <c r="Z11" s="44"/>
    </row>
    <row r="12" spans="1:26" ht="14.25" customHeight="1" x14ac:dyDescent="0.3">
      <c r="A12" s="49"/>
      <c r="B12" s="223" t="s">
        <v>110</v>
      </c>
      <c r="C12" s="194"/>
      <c r="D12" s="194"/>
      <c r="E12" s="194"/>
      <c r="F12" s="194"/>
      <c r="G12" s="194"/>
      <c r="H12" s="194"/>
      <c r="I12" s="194"/>
      <c r="J12" s="44"/>
      <c r="K12" s="44"/>
      <c r="L12" s="44"/>
      <c r="M12" s="44"/>
      <c r="N12" s="44"/>
      <c r="O12" s="44"/>
      <c r="P12" s="44"/>
      <c r="Q12" s="44"/>
      <c r="R12" s="44"/>
      <c r="S12" s="44"/>
      <c r="T12" s="44"/>
      <c r="U12" s="44"/>
      <c r="V12" s="44"/>
      <c r="W12" s="44"/>
      <c r="X12" s="44"/>
      <c r="Y12" s="44"/>
      <c r="Z12" s="44"/>
    </row>
    <row r="13" spans="1:26" ht="14.25" customHeight="1" x14ac:dyDescent="0.3">
      <c r="A13" s="49"/>
      <c r="B13" s="224" t="s">
        <v>111</v>
      </c>
      <c r="C13" s="194"/>
      <c r="D13" s="194"/>
      <c r="E13" s="194"/>
      <c r="F13" s="194"/>
      <c r="G13" s="194"/>
      <c r="H13" s="194"/>
      <c r="I13" s="194"/>
      <c r="J13" s="44"/>
      <c r="K13" s="44"/>
      <c r="L13" s="44"/>
      <c r="M13" s="44"/>
      <c r="N13" s="44"/>
      <c r="O13" s="44"/>
      <c r="P13" s="44"/>
      <c r="Q13" s="44"/>
      <c r="R13" s="44"/>
      <c r="S13" s="44"/>
      <c r="T13" s="44"/>
      <c r="U13" s="44"/>
      <c r="V13" s="44"/>
      <c r="W13" s="44"/>
      <c r="X13" s="44"/>
      <c r="Y13" s="44"/>
      <c r="Z13" s="44"/>
    </row>
    <row r="14" spans="1:26" ht="19.5" customHeight="1" x14ac:dyDescent="0.3">
      <c r="A14" s="50" t="s">
        <v>10</v>
      </c>
      <c r="B14" s="221" t="s">
        <v>112</v>
      </c>
      <c r="C14" s="208"/>
      <c r="D14" s="208"/>
      <c r="E14" s="208"/>
      <c r="F14" s="208"/>
      <c r="G14" s="208"/>
      <c r="H14" s="208"/>
      <c r="I14" s="209"/>
      <c r="J14" s="51"/>
      <c r="K14" s="51"/>
      <c r="L14" s="51"/>
      <c r="M14" s="51"/>
      <c r="N14" s="51"/>
      <c r="O14" s="51"/>
      <c r="P14" s="51"/>
      <c r="Q14" s="51"/>
      <c r="R14" s="51"/>
      <c r="S14" s="51"/>
      <c r="T14" s="51"/>
      <c r="U14" s="51"/>
      <c r="V14" s="51"/>
      <c r="W14" s="51"/>
      <c r="X14" s="51"/>
      <c r="Y14" s="51"/>
      <c r="Z14" s="51"/>
    </row>
    <row r="15" spans="1:26" ht="14.25" customHeight="1" x14ac:dyDescent="0.3">
      <c r="A15" s="50" t="s">
        <v>1</v>
      </c>
      <c r="B15" s="211" t="s">
        <v>113</v>
      </c>
      <c r="C15" s="208"/>
      <c r="D15" s="209"/>
      <c r="E15" s="50" t="s">
        <v>114</v>
      </c>
      <c r="F15" s="50" t="s">
        <v>115</v>
      </c>
      <c r="G15" s="50" t="s">
        <v>116</v>
      </c>
      <c r="H15" s="50" t="s">
        <v>117</v>
      </c>
      <c r="I15" s="50" t="s">
        <v>118</v>
      </c>
      <c r="J15" s="51"/>
      <c r="K15" s="51"/>
      <c r="L15" s="51"/>
      <c r="M15" s="51"/>
      <c r="N15" s="51"/>
      <c r="O15" s="51"/>
      <c r="P15" s="51"/>
      <c r="Q15" s="51"/>
      <c r="R15" s="51"/>
      <c r="S15" s="51"/>
      <c r="T15" s="51"/>
      <c r="U15" s="51"/>
      <c r="V15" s="51"/>
      <c r="W15" s="51"/>
      <c r="X15" s="51"/>
      <c r="Y15" s="51"/>
      <c r="Z15" s="51"/>
    </row>
    <row r="16" spans="1:26" ht="41.25" customHeight="1" x14ac:dyDescent="0.3">
      <c r="A16" s="52">
        <v>1</v>
      </c>
      <c r="B16" s="212" t="s">
        <v>119</v>
      </c>
      <c r="C16" s="208"/>
      <c r="D16" s="209"/>
      <c r="E16" s="53"/>
      <c r="F16" s="53"/>
      <c r="G16" s="54">
        <f t="shared" ref="G16:H16" si="0">SUM(G17:G25)</f>
        <v>18</v>
      </c>
      <c r="H16" s="54">
        <f t="shared" si="0"/>
        <v>18</v>
      </c>
      <c r="I16" s="52"/>
      <c r="J16" s="51"/>
      <c r="K16" s="51"/>
      <c r="L16" s="51"/>
      <c r="M16" s="51"/>
      <c r="N16" s="51"/>
      <c r="O16" s="51"/>
      <c r="P16" s="51"/>
      <c r="Q16" s="51"/>
      <c r="R16" s="51"/>
      <c r="S16" s="51"/>
      <c r="T16" s="51"/>
      <c r="U16" s="51"/>
      <c r="V16" s="51"/>
      <c r="W16" s="51"/>
      <c r="X16" s="51"/>
      <c r="Y16" s="51"/>
      <c r="Z16" s="51"/>
    </row>
    <row r="17" spans="1:26" ht="94.5" customHeight="1" x14ac:dyDescent="0.3">
      <c r="A17" s="55" t="s">
        <v>120</v>
      </c>
      <c r="B17" s="210" t="s">
        <v>121</v>
      </c>
      <c r="C17" s="208"/>
      <c r="D17" s="209"/>
      <c r="E17" s="55"/>
      <c r="F17" s="55"/>
      <c r="G17" s="55">
        <v>2</v>
      </c>
      <c r="H17" s="55">
        <v>2</v>
      </c>
      <c r="I17" s="56"/>
      <c r="J17" s="51"/>
      <c r="K17" s="51"/>
      <c r="L17" s="51"/>
      <c r="M17" s="51"/>
      <c r="N17" s="51"/>
      <c r="O17" s="51"/>
      <c r="P17" s="51"/>
      <c r="Q17" s="51"/>
      <c r="R17" s="51"/>
      <c r="S17" s="51"/>
      <c r="T17" s="51"/>
      <c r="U17" s="51"/>
      <c r="V17" s="51"/>
      <c r="W17" s="51"/>
      <c r="X17" s="51"/>
      <c r="Y17" s="51"/>
      <c r="Z17" s="51"/>
    </row>
    <row r="18" spans="1:26" ht="63.75" customHeight="1" x14ac:dyDescent="0.3">
      <c r="A18" s="57" t="s">
        <v>122</v>
      </c>
      <c r="B18" s="207" t="s">
        <v>123</v>
      </c>
      <c r="C18" s="208"/>
      <c r="D18" s="209"/>
      <c r="E18" s="57"/>
      <c r="F18" s="57"/>
      <c r="G18" s="57">
        <v>2</v>
      </c>
      <c r="H18" s="57">
        <v>2</v>
      </c>
      <c r="I18" s="58"/>
      <c r="J18" s="51"/>
      <c r="K18" s="51"/>
      <c r="L18" s="51"/>
      <c r="M18" s="51"/>
      <c r="N18" s="51"/>
      <c r="O18" s="51"/>
      <c r="P18" s="51"/>
      <c r="Q18" s="51"/>
      <c r="R18" s="51"/>
      <c r="S18" s="51"/>
      <c r="T18" s="51"/>
      <c r="U18" s="51"/>
      <c r="V18" s="51"/>
      <c r="W18" s="51"/>
      <c r="X18" s="51"/>
      <c r="Y18" s="51"/>
      <c r="Z18" s="51"/>
    </row>
    <row r="19" spans="1:26" ht="77.25" customHeight="1" x14ac:dyDescent="0.3">
      <c r="A19" s="55" t="s">
        <v>124</v>
      </c>
      <c r="B19" s="210" t="s">
        <v>125</v>
      </c>
      <c r="C19" s="208"/>
      <c r="D19" s="209"/>
      <c r="E19" s="55"/>
      <c r="F19" s="55"/>
      <c r="G19" s="55">
        <v>2</v>
      </c>
      <c r="H19" s="55">
        <v>2</v>
      </c>
      <c r="I19" s="56"/>
      <c r="J19" s="51"/>
      <c r="K19" s="51"/>
      <c r="L19" s="51"/>
      <c r="M19" s="51"/>
      <c r="N19" s="51"/>
      <c r="O19" s="51"/>
      <c r="P19" s="51"/>
      <c r="Q19" s="51"/>
      <c r="R19" s="51"/>
      <c r="S19" s="51"/>
      <c r="T19" s="51"/>
      <c r="U19" s="51"/>
      <c r="V19" s="51"/>
      <c r="W19" s="51"/>
      <c r="X19" s="51"/>
      <c r="Y19" s="51"/>
      <c r="Z19" s="51"/>
    </row>
    <row r="20" spans="1:26" ht="63" customHeight="1" x14ac:dyDescent="0.3">
      <c r="A20" s="57" t="s">
        <v>126</v>
      </c>
      <c r="B20" s="207" t="s">
        <v>127</v>
      </c>
      <c r="C20" s="208"/>
      <c r="D20" s="209"/>
      <c r="E20" s="57"/>
      <c r="F20" s="57"/>
      <c r="G20" s="57">
        <v>2</v>
      </c>
      <c r="H20" s="57">
        <v>2</v>
      </c>
      <c r="I20" s="58"/>
      <c r="J20" s="51"/>
      <c r="K20" s="51"/>
      <c r="L20" s="51"/>
      <c r="M20" s="51"/>
      <c r="N20" s="51"/>
      <c r="O20" s="51"/>
      <c r="P20" s="51"/>
      <c r="Q20" s="51"/>
      <c r="R20" s="51"/>
      <c r="S20" s="51"/>
      <c r="T20" s="51"/>
      <c r="U20" s="51"/>
      <c r="V20" s="51"/>
      <c r="W20" s="51"/>
      <c r="X20" s="51"/>
      <c r="Y20" s="51"/>
      <c r="Z20" s="51"/>
    </row>
    <row r="21" spans="1:26" ht="94.5" customHeight="1" x14ac:dyDescent="0.3">
      <c r="A21" s="55" t="s">
        <v>128</v>
      </c>
      <c r="B21" s="210" t="s">
        <v>129</v>
      </c>
      <c r="C21" s="208"/>
      <c r="D21" s="209"/>
      <c r="E21" s="55"/>
      <c r="F21" s="55"/>
      <c r="G21" s="55">
        <v>2</v>
      </c>
      <c r="H21" s="55">
        <v>2</v>
      </c>
      <c r="I21" s="56"/>
      <c r="J21" s="51"/>
      <c r="K21" s="51"/>
      <c r="L21" s="51"/>
      <c r="M21" s="51"/>
      <c r="N21" s="51"/>
      <c r="O21" s="51"/>
      <c r="P21" s="51"/>
      <c r="Q21" s="51"/>
      <c r="R21" s="51"/>
      <c r="S21" s="51"/>
      <c r="T21" s="51"/>
      <c r="U21" s="51"/>
      <c r="V21" s="51"/>
      <c r="W21" s="51"/>
      <c r="X21" s="51"/>
      <c r="Y21" s="51"/>
      <c r="Z21" s="51"/>
    </row>
    <row r="22" spans="1:26" ht="111" customHeight="1" x14ac:dyDescent="0.3">
      <c r="A22" s="57" t="s">
        <v>130</v>
      </c>
      <c r="B22" s="207" t="s">
        <v>131</v>
      </c>
      <c r="C22" s="208"/>
      <c r="D22" s="209"/>
      <c r="E22" s="57"/>
      <c r="F22" s="57"/>
      <c r="G22" s="57">
        <v>2</v>
      </c>
      <c r="H22" s="57">
        <v>2</v>
      </c>
      <c r="I22" s="58"/>
      <c r="J22" s="51"/>
      <c r="K22" s="51"/>
      <c r="L22" s="51"/>
      <c r="M22" s="51"/>
      <c r="N22" s="51"/>
      <c r="O22" s="51"/>
      <c r="P22" s="51"/>
      <c r="Q22" s="51"/>
      <c r="R22" s="51"/>
      <c r="S22" s="51"/>
      <c r="T22" s="51"/>
      <c r="U22" s="51"/>
      <c r="V22" s="51"/>
      <c r="W22" s="51"/>
      <c r="X22" s="51"/>
      <c r="Y22" s="51"/>
      <c r="Z22" s="51"/>
    </row>
    <row r="23" spans="1:26" ht="30.75" customHeight="1" x14ac:dyDescent="0.3">
      <c r="A23" s="55" t="s">
        <v>132</v>
      </c>
      <c r="B23" s="210" t="s">
        <v>133</v>
      </c>
      <c r="C23" s="208"/>
      <c r="D23" s="209"/>
      <c r="E23" s="55"/>
      <c r="F23" s="55"/>
      <c r="G23" s="55">
        <v>2</v>
      </c>
      <c r="H23" s="55">
        <v>2</v>
      </c>
      <c r="I23" s="56"/>
      <c r="J23" s="51"/>
      <c r="K23" s="51"/>
      <c r="L23" s="51"/>
      <c r="M23" s="51"/>
      <c r="N23" s="51"/>
      <c r="O23" s="51"/>
      <c r="P23" s="51"/>
      <c r="Q23" s="51"/>
      <c r="R23" s="51"/>
      <c r="S23" s="51"/>
      <c r="T23" s="51"/>
      <c r="U23" s="51"/>
      <c r="V23" s="51"/>
      <c r="W23" s="51"/>
      <c r="X23" s="51"/>
      <c r="Y23" s="51"/>
      <c r="Z23" s="51"/>
    </row>
    <row r="24" spans="1:26" ht="31.5" customHeight="1" x14ac:dyDescent="0.3">
      <c r="A24" s="57" t="s">
        <v>134</v>
      </c>
      <c r="B24" s="207" t="s">
        <v>135</v>
      </c>
      <c r="C24" s="208"/>
      <c r="D24" s="209"/>
      <c r="E24" s="57"/>
      <c r="F24" s="57"/>
      <c r="G24" s="57">
        <v>2</v>
      </c>
      <c r="H24" s="57">
        <v>2</v>
      </c>
      <c r="I24" s="58"/>
      <c r="J24" s="51"/>
      <c r="K24" s="51"/>
      <c r="L24" s="51"/>
      <c r="M24" s="51"/>
      <c r="N24" s="51"/>
      <c r="O24" s="51"/>
      <c r="P24" s="51"/>
      <c r="Q24" s="51"/>
      <c r="R24" s="51"/>
      <c r="S24" s="51"/>
      <c r="T24" s="51"/>
      <c r="U24" s="51"/>
      <c r="V24" s="51"/>
      <c r="W24" s="51"/>
      <c r="X24" s="51"/>
      <c r="Y24" s="51"/>
      <c r="Z24" s="51"/>
    </row>
    <row r="25" spans="1:26" ht="62.25" customHeight="1" x14ac:dyDescent="0.3">
      <c r="A25" s="55" t="s">
        <v>136</v>
      </c>
      <c r="B25" s="210" t="s">
        <v>137</v>
      </c>
      <c r="C25" s="208"/>
      <c r="D25" s="209"/>
      <c r="E25" s="55"/>
      <c r="F25" s="55"/>
      <c r="G25" s="55">
        <v>2</v>
      </c>
      <c r="H25" s="55">
        <v>2</v>
      </c>
      <c r="I25" s="56"/>
      <c r="J25" s="51"/>
      <c r="K25" s="51"/>
      <c r="L25" s="51"/>
      <c r="M25" s="51"/>
      <c r="N25" s="51"/>
      <c r="O25" s="51"/>
      <c r="P25" s="51"/>
      <c r="Q25" s="51"/>
      <c r="R25" s="51"/>
      <c r="S25" s="51"/>
      <c r="T25" s="51"/>
      <c r="U25" s="51"/>
      <c r="V25" s="51"/>
      <c r="W25" s="51"/>
      <c r="X25" s="51"/>
      <c r="Y25" s="51"/>
      <c r="Z25" s="51"/>
    </row>
    <row r="26" spans="1:26" ht="25.5" customHeight="1" x14ac:dyDescent="0.3">
      <c r="A26" s="52">
        <v>2</v>
      </c>
      <c r="B26" s="212" t="s">
        <v>138</v>
      </c>
      <c r="C26" s="208"/>
      <c r="D26" s="209"/>
      <c r="E26" s="53"/>
      <c r="F26" s="53"/>
      <c r="G26" s="54">
        <f t="shared" ref="G26:H26" si="1">SUM(G27:G30)</f>
        <v>4</v>
      </c>
      <c r="H26" s="54">
        <f t="shared" si="1"/>
        <v>4</v>
      </c>
      <c r="I26" s="52"/>
      <c r="J26" s="51"/>
      <c r="K26" s="51"/>
      <c r="L26" s="51"/>
      <c r="M26" s="51"/>
      <c r="N26" s="51"/>
      <c r="O26" s="51"/>
      <c r="P26" s="51"/>
      <c r="Q26" s="51"/>
      <c r="R26" s="51"/>
      <c r="S26" s="51"/>
      <c r="T26" s="51"/>
      <c r="U26" s="51"/>
      <c r="V26" s="51"/>
      <c r="W26" s="51"/>
      <c r="X26" s="51"/>
      <c r="Y26" s="51"/>
      <c r="Z26" s="51"/>
    </row>
    <row r="27" spans="1:26" ht="62.25" customHeight="1" x14ac:dyDescent="0.3">
      <c r="A27" s="57" t="s">
        <v>139</v>
      </c>
      <c r="B27" s="207" t="s">
        <v>140</v>
      </c>
      <c r="C27" s="208"/>
      <c r="D27" s="209"/>
      <c r="E27" s="57"/>
      <c r="F27" s="57"/>
      <c r="G27" s="57">
        <v>1</v>
      </c>
      <c r="H27" s="57">
        <v>1</v>
      </c>
      <c r="I27" s="58"/>
      <c r="J27" s="51"/>
      <c r="K27" s="51"/>
      <c r="L27" s="51"/>
      <c r="M27" s="51"/>
      <c r="N27" s="51"/>
      <c r="O27" s="51"/>
      <c r="P27" s="51"/>
      <c r="Q27" s="51"/>
      <c r="R27" s="51"/>
      <c r="S27" s="51"/>
      <c r="T27" s="51"/>
      <c r="U27" s="51"/>
      <c r="V27" s="51"/>
      <c r="W27" s="51"/>
      <c r="X27" s="51"/>
      <c r="Y27" s="51"/>
      <c r="Z27" s="51"/>
    </row>
    <row r="28" spans="1:26" ht="46.5" customHeight="1" x14ac:dyDescent="0.3">
      <c r="A28" s="55" t="s">
        <v>141</v>
      </c>
      <c r="B28" s="210" t="s">
        <v>142</v>
      </c>
      <c r="C28" s="208"/>
      <c r="D28" s="209"/>
      <c r="E28" s="55"/>
      <c r="F28" s="55"/>
      <c r="G28" s="55">
        <v>1</v>
      </c>
      <c r="H28" s="55">
        <v>1</v>
      </c>
      <c r="I28" s="56"/>
      <c r="J28" s="51"/>
      <c r="K28" s="51"/>
      <c r="L28" s="51"/>
      <c r="M28" s="51"/>
      <c r="N28" s="51"/>
      <c r="O28" s="51"/>
      <c r="P28" s="51"/>
      <c r="Q28" s="51"/>
      <c r="R28" s="51"/>
      <c r="S28" s="51"/>
      <c r="T28" s="51"/>
      <c r="U28" s="51"/>
      <c r="V28" s="51"/>
      <c r="W28" s="51"/>
      <c r="X28" s="51"/>
      <c r="Y28" s="51"/>
      <c r="Z28" s="51"/>
    </row>
    <row r="29" spans="1:26" ht="62.25" customHeight="1" x14ac:dyDescent="0.3">
      <c r="A29" s="57" t="s">
        <v>143</v>
      </c>
      <c r="B29" s="207" t="s">
        <v>144</v>
      </c>
      <c r="C29" s="208"/>
      <c r="D29" s="209"/>
      <c r="E29" s="57"/>
      <c r="F29" s="57"/>
      <c r="G29" s="57">
        <v>1</v>
      </c>
      <c r="H29" s="57">
        <v>1</v>
      </c>
      <c r="I29" s="58"/>
      <c r="J29" s="51"/>
      <c r="K29" s="51"/>
      <c r="L29" s="51"/>
      <c r="M29" s="51"/>
      <c r="N29" s="51"/>
      <c r="O29" s="51"/>
      <c r="P29" s="51"/>
      <c r="Q29" s="51"/>
      <c r="R29" s="51"/>
      <c r="S29" s="51"/>
      <c r="T29" s="51"/>
      <c r="U29" s="51"/>
      <c r="V29" s="51"/>
      <c r="W29" s="51"/>
      <c r="X29" s="51"/>
      <c r="Y29" s="51"/>
      <c r="Z29" s="51"/>
    </row>
    <row r="30" spans="1:26" ht="43.5" customHeight="1" x14ac:dyDescent="0.3">
      <c r="A30" s="55" t="s">
        <v>145</v>
      </c>
      <c r="B30" s="210" t="s">
        <v>146</v>
      </c>
      <c r="C30" s="208"/>
      <c r="D30" s="209"/>
      <c r="E30" s="55"/>
      <c r="F30" s="55"/>
      <c r="G30" s="55">
        <v>1</v>
      </c>
      <c r="H30" s="55">
        <v>1</v>
      </c>
      <c r="I30" s="56"/>
      <c r="J30" s="51"/>
      <c r="K30" s="51"/>
      <c r="L30" s="51"/>
      <c r="M30" s="51"/>
      <c r="N30" s="51"/>
      <c r="O30" s="51"/>
      <c r="P30" s="51"/>
      <c r="Q30" s="51"/>
      <c r="R30" s="51"/>
      <c r="S30" s="51"/>
      <c r="T30" s="51"/>
      <c r="U30" s="51"/>
      <c r="V30" s="51"/>
      <c r="W30" s="51"/>
      <c r="X30" s="51"/>
      <c r="Y30" s="51"/>
      <c r="Z30" s="51"/>
    </row>
    <row r="31" spans="1:26" ht="31.5" customHeight="1" x14ac:dyDescent="0.3">
      <c r="A31" s="52"/>
      <c r="B31" s="212" t="s">
        <v>147</v>
      </c>
      <c r="C31" s="208"/>
      <c r="D31" s="209"/>
      <c r="E31" s="53"/>
      <c r="F31" s="53"/>
      <c r="G31" s="54">
        <f t="shared" ref="G31:H31" si="2">SUM(G32:G35)</f>
        <v>8</v>
      </c>
      <c r="H31" s="54">
        <f t="shared" si="2"/>
        <v>8</v>
      </c>
      <c r="I31" s="52"/>
      <c r="J31" s="51"/>
      <c r="K31" s="51"/>
      <c r="L31" s="51"/>
      <c r="M31" s="51"/>
      <c r="N31" s="51"/>
      <c r="O31" s="51"/>
      <c r="P31" s="51"/>
      <c r="Q31" s="51"/>
      <c r="R31" s="51"/>
      <c r="S31" s="51"/>
      <c r="T31" s="51"/>
      <c r="U31" s="51"/>
      <c r="V31" s="51"/>
      <c r="W31" s="51"/>
      <c r="X31" s="51"/>
      <c r="Y31" s="51"/>
      <c r="Z31" s="51"/>
    </row>
    <row r="32" spans="1:26" ht="31.5" customHeight="1" x14ac:dyDescent="0.3">
      <c r="A32" s="57" t="s">
        <v>148</v>
      </c>
      <c r="B32" s="207" t="s">
        <v>149</v>
      </c>
      <c r="C32" s="208"/>
      <c r="D32" s="209"/>
      <c r="E32" s="57"/>
      <c r="F32" s="57"/>
      <c r="G32" s="57">
        <v>2</v>
      </c>
      <c r="H32" s="57">
        <v>2</v>
      </c>
      <c r="I32" s="58"/>
      <c r="J32" s="51"/>
      <c r="K32" s="51"/>
      <c r="L32" s="51"/>
      <c r="M32" s="51"/>
      <c r="N32" s="51"/>
      <c r="O32" s="51"/>
      <c r="P32" s="51"/>
      <c r="Q32" s="51"/>
      <c r="R32" s="51"/>
      <c r="S32" s="51"/>
      <c r="T32" s="51"/>
      <c r="U32" s="51"/>
      <c r="V32" s="51"/>
      <c r="W32" s="51"/>
      <c r="X32" s="51"/>
      <c r="Y32" s="51"/>
      <c r="Z32" s="51"/>
    </row>
    <row r="33" spans="1:26" ht="31.5" customHeight="1" x14ac:dyDescent="0.3">
      <c r="A33" s="55" t="s">
        <v>150</v>
      </c>
      <c r="B33" s="210" t="s">
        <v>151</v>
      </c>
      <c r="C33" s="208"/>
      <c r="D33" s="209"/>
      <c r="E33" s="55"/>
      <c r="F33" s="55"/>
      <c r="G33" s="55">
        <v>2</v>
      </c>
      <c r="H33" s="55">
        <v>2</v>
      </c>
      <c r="I33" s="56"/>
      <c r="J33" s="51"/>
      <c r="K33" s="51"/>
      <c r="L33" s="51"/>
      <c r="M33" s="51"/>
      <c r="N33" s="51"/>
      <c r="O33" s="51"/>
      <c r="P33" s="51"/>
      <c r="Q33" s="51"/>
      <c r="R33" s="51"/>
      <c r="S33" s="51"/>
      <c r="T33" s="51"/>
      <c r="U33" s="51"/>
      <c r="V33" s="51"/>
      <c r="W33" s="51"/>
      <c r="X33" s="51"/>
      <c r="Y33" s="51"/>
      <c r="Z33" s="51"/>
    </row>
    <row r="34" spans="1:26" ht="31.5" customHeight="1" x14ac:dyDescent="0.3">
      <c r="A34" s="57" t="s">
        <v>152</v>
      </c>
      <c r="B34" s="207" t="s">
        <v>153</v>
      </c>
      <c r="C34" s="208"/>
      <c r="D34" s="209"/>
      <c r="E34" s="57"/>
      <c r="F34" s="57"/>
      <c r="G34" s="57">
        <v>2</v>
      </c>
      <c r="H34" s="57">
        <v>2</v>
      </c>
      <c r="I34" s="58"/>
      <c r="J34" s="51"/>
      <c r="K34" s="51"/>
      <c r="L34" s="51"/>
      <c r="M34" s="51"/>
      <c r="N34" s="51"/>
      <c r="O34" s="51"/>
      <c r="P34" s="51"/>
      <c r="Q34" s="51"/>
      <c r="R34" s="51"/>
      <c r="S34" s="51"/>
      <c r="T34" s="51"/>
      <c r="U34" s="51"/>
      <c r="V34" s="51"/>
      <c r="W34" s="51"/>
      <c r="X34" s="51"/>
      <c r="Y34" s="51"/>
      <c r="Z34" s="51"/>
    </row>
    <row r="35" spans="1:26" ht="31.5" customHeight="1" x14ac:dyDescent="0.3">
      <c r="A35" s="55" t="s">
        <v>154</v>
      </c>
      <c r="B35" s="210" t="s">
        <v>155</v>
      </c>
      <c r="C35" s="208"/>
      <c r="D35" s="209"/>
      <c r="E35" s="55"/>
      <c r="F35" s="55"/>
      <c r="G35" s="55">
        <v>2</v>
      </c>
      <c r="H35" s="55">
        <v>2</v>
      </c>
      <c r="I35" s="56"/>
      <c r="J35" s="51"/>
      <c r="K35" s="51"/>
      <c r="L35" s="51"/>
      <c r="M35" s="51"/>
      <c r="N35" s="51"/>
      <c r="O35" s="51"/>
      <c r="P35" s="51"/>
      <c r="Q35" s="51"/>
      <c r="R35" s="51"/>
      <c r="S35" s="51"/>
      <c r="T35" s="51"/>
      <c r="U35" s="51"/>
      <c r="V35" s="51"/>
      <c r="W35" s="51"/>
      <c r="X35" s="51"/>
      <c r="Y35" s="51"/>
      <c r="Z35" s="51"/>
    </row>
    <row r="36" spans="1:26" ht="22.5" customHeight="1" x14ac:dyDescent="0.3">
      <c r="A36" s="227" t="s">
        <v>156</v>
      </c>
      <c r="B36" s="208"/>
      <c r="C36" s="208"/>
      <c r="D36" s="208"/>
      <c r="E36" s="208"/>
      <c r="F36" s="209"/>
      <c r="G36" s="59">
        <f t="shared" ref="G36:H36" si="3">SUM(G31,G26,G16)</f>
        <v>30</v>
      </c>
      <c r="H36" s="59">
        <f t="shared" si="3"/>
        <v>30</v>
      </c>
      <c r="I36" s="60"/>
      <c r="J36" s="51"/>
      <c r="K36" s="51"/>
      <c r="L36" s="51"/>
      <c r="M36" s="51"/>
      <c r="N36" s="51"/>
      <c r="O36" s="51"/>
      <c r="P36" s="51"/>
      <c r="Q36" s="51"/>
      <c r="R36" s="51"/>
      <c r="S36" s="51"/>
      <c r="T36" s="51"/>
      <c r="U36" s="51"/>
      <c r="V36" s="51"/>
      <c r="W36" s="51"/>
      <c r="X36" s="51"/>
      <c r="Y36" s="51"/>
      <c r="Z36" s="51"/>
    </row>
    <row r="37" spans="1:26" ht="24" customHeight="1" x14ac:dyDescent="0.3">
      <c r="A37" s="50" t="s">
        <v>157</v>
      </c>
      <c r="B37" s="221" t="s">
        <v>158</v>
      </c>
      <c r="C37" s="208"/>
      <c r="D37" s="208"/>
      <c r="E37" s="208"/>
      <c r="F37" s="208"/>
      <c r="G37" s="208"/>
      <c r="H37" s="208"/>
      <c r="I37" s="209"/>
      <c r="J37" s="51"/>
      <c r="K37" s="51"/>
      <c r="L37" s="51"/>
      <c r="M37" s="51"/>
      <c r="N37" s="51"/>
      <c r="O37" s="51"/>
      <c r="P37" s="51"/>
      <c r="Q37" s="51"/>
      <c r="R37" s="51"/>
      <c r="S37" s="51"/>
      <c r="T37" s="51"/>
      <c r="U37" s="51"/>
      <c r="V37" s="51"/>
      <c r="W37" s="51"/>
      <c r="X37" s="51"/>
      <c r="Y37" s="51"/>
      <c r="Z37" s="51"/>
    </row>
    <row r="38" spans="1:26" ht="14.25" customHeight="1" x14ac:dyDescent="0.3">
      <c r="A38" s="50" t="s">
        <v>1</v>
      </c>
      <c r="B38" s="211" t="s">
        <v>113</v>
      </c>
      <c r="C38" s="209"/>
      <c r="D38" s="50" t="s">
        <v>160</v>
      </c>
      <c r="E38" s="50" t="s">
        <v>161</v>
      </c>
      <c r="F38" s="50" t="s">
        <v>162</v>
      </c>
      <c r="G38" s="50" t="s">
        <v>116</v>
      </c>
      <c r="H38" s="50" t="s">
        <v>163</v>
      </c>
      <c r="I38" s="50" t="s">
        <v>118</v>
      </c>
      <c r="J38" s="51"/>
      <c r="K38" s="51"/>
      <c r="L38" s="51"/>
      <c r="M38" s="51"/>
      <c r="N38" s="51"/>
      <c r="O38" s="51"/>
      <c r="P38" s="51"/>
      <c r="Q38" s="51"/>
      <c r="R38" s="51"/>
      <c r="S38" s="51"/>
      <c r="T38" s="51"/>
      <c r="U38" s="51"/>
      <c r="V38" s="51"/>
      <c r="W38" s="51"/>
      <c r="X38" s="51"/>
      <c r="Y38" s="51"/>
      <c r="Z38" s="51"/>
    </row>
    <row r="39" spans="1:26" ht="157.5" customHeight="1" x14ac:dyDescent="0.3">
      <c r="A39" s="55">
        <v>1</v>
      </c>
      <c r="B39" s="229" t="s">
        <v>320</v>
      </c>
      <c r="C39" s="209"/>
      <c r="D39" s="56" t="e">
        <f>'BẢNG TÍNH ĐIỂM (3)'!C6</f>
        <v>#REF!</v>
      </c>
      <c r="E39" s="61" t="e">
        <f>'BẢNG TÍNH ĐIỂM (3)'!J6</f>
        <v>#REF!</v>
      </c>
      <c r="F39" s="62" t="e">
        <f>'BẢNG TÍNH ĐIỂM (3)'!C7</f>
        <v>#REF!</v>
      </c>
      <c r="G39" s="63">
        <v>10</v>
      </c>
      <c r="H39" s="56" t="e">
        <f t="shared" ref="H39:H44" si="4">F39*G39</f>
        <v>#REF!</v>
      </c>
      <c r="I39" s="64"/>
      <c r="J39" s="51"/>
      <c r="K39" s="51"/>
      <c r="L39" s="51"/>
      <c r="M39" s="51"/>
      <c r="N39" s="51"/>
      <c r="O39" s="51"/>
      <c r="P39" s="51"/>
      <c r="Q39" s="51"/>
      <c r="R39" s="51"/>
      <c r="S39" s="51"/>
      <c r="T39" s="51"/>
      <c r="U39" s="51"/>
      <c r="V39" s="51"/>
      <c r="W39" s="51"/>
      <c r="X39" s="51"/>
      <c r="Y39" s="51"/>
      <c r="Z39" s="51"/>
    </row>
    <row r="40" spans="1:26" ht="222.75" customHeight="1" x14ac:dyDescent="0.3">
      <c r="A40" s="57">
        <v>2</v>
      </c>
      <c r="B40" s="225" t="s">
        <v>321</v>
      </c>
      <c r="C40" s="209"/>
      <c r="D40" s="58">
        <f>'BẢNG TÍNH ĐIỂM (3)'!C10</f>
        <v>0</v>
      </c>
      <c r="E40" s="65">
        <f>'BẢNG TÍNH ĐIỂM (3)'!J10</f>
        <v>0</v>
      </c>
      <c r="F40" s="62">
        <f>'BẢNG TÍNH ĐIỂM (3)'!C11</f>
        <v>1</v>
      </c>
      <c r="G40" s="66">
        <v>15</v>
      </c>
      <c r="H40" s="56">
        <f t="shared" si="4"/>
        <v>15</v>
      </c>
      <c r="I40" s="67"/>
      <c r="J40" s="51"/>
      <c r="K40" s="51"/>
      <c r="L40" s="51"/>
      <c r="M40" s="51"/>
      <c r="N40" s="51"/>
      <c r="O40" s="51"/>
      <c r="P40" s="51"/>
      <c r="Q40" s="51"/>
      <c r="R40" s="51"/>
      <c r="S40" s="51"/>
      <c r="T40" s="51"/>
      <c r="U40" s="51"/>
      <c r="V40" s="51"/>
      <c r="W40" s="51"/>
      <c r="X40" s="51"/>
      <c r="Y40" s="51"/>
      <c r="Z40" s="51"/>
    </row>
    <row r="41" spans="1:26" ht="153" customHeight="1" x14ac:dyDescent="0.3">
      <c r="A41" s="55">
        <v>3</v>
      </c>
      <c r="B41" s="226" t="s">
        <v>322</v>
      </c>
      <c r="C41" s="209"/>
      <c r="D41" s="56" t="e">
        <f>'BẢNG TÍNH ĐIỂM (3)'!C15</f>
        <v>#REF!</v>
      </c>
      <c r="E41" s="61" t="e">
        <f>'BẢNG TÍNH ĐIỂM (3)'!J15</f>
        <v>#REF!</v>
      </c>
      <c r="F41" s="62" t="e">
        <f>'BẢNG TÍNH ĐIỂM (3)'!C16</f>
        <v>#REF!</v>
      </c>
      <c r="G41" s="68">
        <v>10</v>
      </c>
      <c r="H41" s="56" t="e">
        <f t="shared" si="4"/>
        <v>#REF!</v>
      </c>
      <c r="I41" s="64"/>
      <c r="J41" s="51"/>
      <c r="K41" s="51"/>
      <c r="L41" s="51"/>
      <c r="M41" s="51"/>
      <c r="N41" s="51"/>
      <c r="O41" s="51"/>
      <c r="P41" s="51"/>
      <c r="Q41" s="51"/>
      <c r="R41" s="51"/>
      <c r="S41" s="51"/>
      <c r="T41" s="51"/>
      <c r="U41" s="51"/>
      <c r="V41" s="51"/>
      <c r="W41" s="51"/>
      <c r="X41" s="51"/>
      <c r="Y41" s="51"/>
      <c r="Z41" s="51"/>
    </row>
    <row r="42" spans="1:26" ht="408.75" customHeight="1" x14ac:dyDescent="0.3">
      <c r="A42" s="57">
        <v>4</v>
      </c>
      <c r="B42" s="225" t="s">
        <v>323</v>
      </c>
      <c r="C42" s="209"/>
      <c r="D42" s="58" t="e">
        <f>'BẢNG TÍNH ĐIỂM (3)'!C54</f>
        <v>#REF!</v>
      </c>
      <c r="E42" s="65" t="e">
        <f>'BẢNG TÍNH ĐIỂM (3)'!J54</f>
        <v>#REF!</v>
      </c>
      <c r="F42" s="62" t="e">
        <f>'BẢNG TÍNH ĐIỂM (3)'!C55</f>
        <v>#REF!</v>
      </c>
      <c r="G42" s="69">
        <v>20</v>
      </c>
      <c r="H42" s="56" t="e">
        <f t="shared" si="4"/>
        <v>#REF!</v>
      </c>
      <c r="I42" s="67"/>
      <c r="J42" s="51"/>
      <c r="K42" s="51"/>
      <c r="L42" s="51"/>
      <c r="M42" s="51"/>
      <c r="N42" s="51"/>
      <c r="O42" s="51"/>
      <c r="P42" s="51"/>
      <c r="Q42" s="51"/>
      <c r="R42" s="51"/>
      <c r="S42" s="51"/>
      <c r="T42" s="51"/>
      <c r="U42" s="51"/>
      <c r="V42" s="51"/>
      <c r="W42" s="51"/>
      <c r="X42" s="51"/>
      <c r="Y42" s="51"/>
      <c r="Z42" s="51"/>
    </row>
    <row r="43" spans="1:26" ht="129.75" customHeight="1" x14ac:dyDescent="0.3">
      <c r="A43" s="55">
        <v>5</v>
      </c>
      <c r="B43" s="229" t="s">
        <v>324</v>
      </c>
      <c r="C43" s="209"/>
      <c r="D43" s="56">
        <f>'BẢNG TÍNH ĐIỂM (3)'!C57</f>
        <v>0</v>
      </c>
      <c r="E43" s="61">
        <f>'BẢNG TÍNH ĐIỂM (3)'!J57</f>
        <v>0</v>
      </c>
      <c r="F43" s="62">
        <f>'BẢNG TÍNH ĐIỂM (3)'!C58</f>
        <v>1</v>
      </c>
      <c r="G43" s="68">
        <v>10</v>
      </c>
      <c r="H43" s="56">
        <f t="shared" si="4"/>
        <v>10</v>
      </c>
      <c r="I43" s="70"/>
      <c r="J43" s="51"/>
      <c r="K43" s="51"/>
      <c r="L43" s="51"/>
      <c r="M43" s="51"/>
      <c r="N43" s="51"/>
      <c r="O43" s="51"/>
      <c r="P43" s="51"/>
      <c r="Q43" s="51"/>
      <c r="R43" s="51"/>
      <c r="S43" s="51"/>
      <c r="T43" s="51"/>
      <c r="U43" s="51"/>
      <c r="V43" s="51"/>
      <c r="W43" s="51"/>
      <c r="X43" s="51"/>
      <c r="Y43" s="51"/>
      <c r="Z43" s="51"/>
    </row>
    <row r="44" spans="1:26" ht="132.75" customHeight="1" x14ac:dyDescent="0.3">
      <c r="A44" s="57">
        <v>6</v>
      </c>
      <c r="B44" s="225" t="s">
        <v>325</v>
      </c>
      <c r="C44" s="209"/>
      <c r="D44" s="58">
        <f>'BẢNG TÍNH ĐIỂM (3)'!C61</f>
        <v>0</v>
      </c>
      <c r="E44" s="65">
        <f>'BẢNG TÍNH ĐIỂM (3)'!J57</f>
        <v>0</v>
      </c>
      <c r="F44" s="62">
        <f>'BẢNG TÍNH ĐIỂM (3)'!C62</f>
        <v>1</v>
      </c>
      <c r="G44" s="66">
        <v>5</v>
      </c>
      <c r="H44" s="56">
        <f t="shared" si="4"/>
        <v>5</v>
      </c>
      <c r="I44" s="71"/>
      <c r="J44" s="51"/>
      <c r="K44" s="51"/>
      <c r="L44" s="51"/>
      <c r="M44" s="51"/>
      <c r="N44" s="51"/>
      <c r="O44" s="51"/>
      <c r="P44" s="51"/>
      <c r="Q44" s="51"/>
      <c r="R44" s="51"/>
      <c r="S44" s="51"/>
      <c r="T44" s="51"/>
      <c r="U44" s="51"/>
      <c r="V44" s="51"/>
      <c r="W44" s="51"/>
      <c r="X44" s="51"/>
      <c r="Y44" s="51"/>
      <c r="Z44" s="51"/>
    </row>
    <row r="45" spans="1:26" ht="14.25" customHeight="1" x14ac:dyDescent="0.3">
      <c r="A45" s="227" t="s">
        <v>262</v>
      </c>
      <c r="B45" s="208"/>
      <c r="C45" s="208"/>
      <c r="D45" s="208"/>
      <c r="E45" s="208"/>
      <c r="F45" s="209"/>
      <c r="G45" s="59">
        <f t="shared" ref="G45:H45" si="5">SUM(G39,G40,G41,G42,G43,G44)</f>
        <v>70</v>
      </c>
      <c r="H45" s="59" t="e">
        <f t="shared" si="5"/>
        <v>#REF!</v>
      </c>
      <c r="I45" s="73"/>
      <c r="J45" s="51"/>
      <c r="K45" s="51"/>
      <c r="L45" s="51"/>
      <c r="M45" s="51"/>
      <c r="N45" s="51"/>
      <c r="O45" s="51"/>
      <c r="P45" s="51"/>
      <c r="Q45" s="51"/>
      <c r="R45" s="51"/>
      <c r="S45" s="51"/>
      <c r="T45" s="51"/>
      <c r="U45" s="51"/>
      <c r="V45" s="51"/>
      <c r="W45" s="51"/>
      <c r="X45" s="51"/>
      <c r="Y45" s="51"/>
      <c r="Z45" s="51"/>
    </row>
    <row r="46" spans="1:26" ht="14.25" customHeight="1" x14ac:dyDescent="0.3">
      <c r="A46" s="230" t="s">
        <v>171</v>
      </c>
      <c r="B46" s="208"/>
      <c r="C46" s="208"/>
      <c r="D46" s="208"/>
      <c r="E46" s="208"/>
      <c r="F46" s="209"/>
      <c r="G46" s="74">
        <f t="shared" ref="G46:H46" si="6">G45+G36</f>
        <v>100</v>
      </c>
      <c r="H46" s="74" t="e">
        <f t="shared" si="6"/>
        <v>#REF!</v>
      </c>
      <c r="I46" s="76"/>
      <c r="J46" s="51"/>
      <c r="K46" s="51"/>
      <c r="L46" s="51"/>
      <c r="M46" s="51"/>
      <c r="N46" s="51"/>
      <c r="O46" s="51"/>
      <c r="P46" s="51"/>
      <c r="Q46" s="51"/>
      <c r="R46" s="51"/>
      <c r="S46" s="51"/>
      <c r="T46" s="51"/>
      <c r="U46" s="51"/>
      <c r="V46" s="51"/>
      <c r="W46" s="51"/>
      <c r="X46" s="51"/>
      <c r="Y46" s="51"/>
      <c r="Z46" s="51"/>
    </row>
    <row r="47" spans="1:26" ht="14.25" customHeight="1" x14ac:dyDescent="0.35">
      <c r="A47" s="77"/>
      <c r="B47" s="78" t="s">
        <v>172</v>
      </c>
      <c r="C47" s="93" t="e">
        <f>IF(H46&gt;=90,"Hoàn thành xuất sắc nhiệm vụ",IF(H46&gt;=80,"Hoàn thành tốt nhiệm vụ",IF(H46&gt;=60,"Hoàn thành nhiệm vụ","Không hoàn thành nhiệm vụ")))</f>
        <v>#REF!</v>
      </c>
      <c r="D47" s="80"/>
      <c r="E47" s="80"/>
      <c r="F47" s="80"/>
      <c r="G47" s="80"/>
      <c r="H47" s="80"/>
      <c r="I47" s="80"/>
      <c r="J47" s="51"/>
      <c r="K47" s="51"/>
      <c r="L47" s="51"/>
      <c r="M47" s="51"/>
      <c r="N47" s="51"/>
      <c r="O47" s="51"/>
      <c r="P47" s="51"/>
      <c r="Q47" s="51"/>
      <c r="R47" s="51"/>
      <c r="S47" s="51"/>
      <c r="T47" s="51"/>
      <c r="U47" s="51"/>
      <c r="V47" s="51"/>
      <c r="W47" s="51"/>
      <c r="X47" s="51"/>
      <c r="Y47" s="51"/>
      <c r="Z47" s="51"/>
    </row>
    <row r="48" spans="1:26" ht="32.25" customHeight="1" x14ac:dyDescent="0.3">
      <c r="A48" s="231" t="s">
        <v>173</v>
      </c>
      <c r="B48" s="194"/>
      <c r="C48" s="194"/>
      <c r="D48" s="194"/>
      <c r="E48" s="194"/>
      <c r="F48" s="194"/>
      <c r="G48" s="194"/>
      <c r="H48" s="194"/>
      <c r="I48" s="194"/>
      <c r="J48" s="51"/>
      <c r="K48" s="51"/>
      <c r="L48" s="51"/>
      <c r="M48" s="51"/>
      <c r="N48" s="51"/>
      <c r="O48" s="51"/>
      <c r="P48" s="51"/>
      <c r="Q48" s="51"/>
      <c r="R48" s="51"/>
      <c r="S48" s="51"/>
      <c r="T48" s="51"/>
      <c r="U48" s="51"/>
      <c r="V48" s="51"/>
      <c r="W48" s="51"/>
      <c r="X48" s="51"/>
      <c r="Y48" s="51"/>
      <c r="Z48" s="51"/>
    </row>
    <row r="49" spans="1:26" ht="14.25" customHeight="1" x14ac:dyDescent="0.3">
      <c r="A49" s="77"/>
      <c r="B49" s="81"/>
      <c r="C49" s="80"/>
      <c r="D49" s="82"/>
      <c r="E49" s="80"/>
      <c r="F49" s="213" t="s">
        <v>174</v>
      </c>
      <c r="G49" s="194"/>
      <c r="H49" s="194"/>
      <c r="I49" s="194"/>
      <c r="J49" s="51"/>
      <c r="K49" s="51"/>
      <c r="L49" s="51"/>
      <c r="M49" s="51"/>
      <c r="N49" s="51"/>
      <c r="O49" s="51"/>
      <c r="P49" s="51"/>
      <c r="Q49" s="51"/>
      <c r="R49" s="51"/>
      <c r="S49" s="51"/>
      <c r="T49" s="51"/>
      <c r="U49" s="51"/>
      <c r="V49" s="51"/>
      <c r="W49" s="51"/>
      <c r="X49" s="51"/>
      <c r="Y49" s="51"/>
      <c r="Z49" s="51"/>
    </row>
    <row r="50" spans="1:26" ht="14.25" customHeight="1" x14ac:dyDescent="0.3">
      <c r="A50" s="77"/>
      <c r="B50" s="81"/>
      <c r="C50" s="80"/>
      <c r="D50" s="82"/>
      <c r="E50" s="80"/>
      <c r="F50" s="48"/>
      <c r="G50" s="80"/>
      <c r="H50" s="80"/>
      <c r="I50" s="80"/>
      <c r="J50" s="51"/>
      <c r="K50" s="51"/>
      <c r="L50" s="51"/>
      <c r="M50" s="51"/>
      <c r="N50" s="51"/>
      <c r="O50" s="51"/>
      <c r="P50" s="51"/>
      <c r="Q50" s="51"/>
      <c r="R50" s="51"/>
      <c r="S50" s="51"/>
      <c r="T50" s="51"/>
      <c r="U50" s="51"/>
      <c r="V50" s="51"/>
      <c r="W50" s="51"/>
      <c r="X50" s="51"/>
      <c r="Y50" s="51"/>
      <c r="Z50" s="51"/>
    </row>
    <row r="51" spans="1:26" ht="14.25" customHeight="1" x14ac:dyDescent="0.3">
      <c r="A51" s="77"/>
      <c r="B51" s="81"/>
      <c r="C51" s="80"/>
      <c r="D51" s="82"/>
      <c r="E51" s="80"/>
      <c r="F51" s="48"/>
      <c r="G51" s="80"/>
      <c r="H51" s="80"/>
      <c r="I51" s="80"/>
      <c r="J51" s="51"/>
      <c r="K51" s="51"/>
      <c r="L51" s="51"/>
      <c r="M51" s="51"/>
      <c r="N51" s="51"/>
      <c r="O51" s="51"/>
      <c r="P51" s="51"/>
      <c r="Q51" s="51"/>
      <c r="R51" s="51"/>
      <c r="S51" s="51"/>
      <c r="T51" s="51"/>
      <c r="U51" s="51"/>
      <c r="V51" s="51"/>
      <c r="W51" s="51"/>
      <c r="X51" s="51"/>
      <c r="Y51" s="51"/>
      <c r="Z51" s="51"/>
    </row>
    <row r="52" spans="1:26" ht="14.25" customHeight="1" x14ac:dyDescent="0.3">
      <c r="A52" s="77"/>
      <c r="B52" s="80"/>
      <c r="C52" s="80"/>
      <c r="D52" s="82"/>
      <c r="E52" s="80"/>
      <c r="F52" s="218"/>
      <c r="G52" s="194"/>
      <c r="H52" s="194"/>
      <c r="I52" s="194"/>
      <c r="J52" s="51"/>
      <c r="K52" s="51"/>
      <c r="L52" s="51"/>
      <c r="M52" s="51"/>
      <c r="N52" s="51"/>
      <c r="O52" s="51"/>
      <c r="P52" s="51"/>
      <c r="Q52" s="51"/>
      <c r="R52" s="51"/>
      <c r="S52" s="51"/>
      <c r="T52" s="51"/>
      <c r="U52" s="51"/>
      <c r="V52" s="51"/>
      <c r="W52" s="51"/>
      <c r="X52" s="51"/>
      <c r="Y52" s="51"/>
      <c r="Z52" s="51"/>
    </row>
    <row r="53" spans="1:26" ht="14.25" customHeight="1" x14ac:dyDescent="0.3">
      <c r="A53" s="77"/>
      <c r="B53" s="80"/>
      <c r="C53" s="80"/>
      <c r="D53" s="82"/>
      <c r="E53" s="80"/>
      <c r="F53" s="213" t="s">
        <v>175</v>
      </c>
      <c r="G53" s="194"/>
      <c r="H53" s="194"/>
      <c r="I53" s="194"/>
      <c r="J53" s="51"/>
      <c r="K53" s="51"/>
      <c r="L53" s="51"/>
      <c r="M53" s="51"/>
      <c r="N53" s="51"/>
      <c r="O53" s="51"/>
      <c r="P53" s="51"/>
      <c r="Q53" s="51"/>
      <c r="R53" s="51"/>
      <c r="S53" s="51"/>
      <c r="T53" s="51"/>
      <c r="U53" s="51"/>
      <c r="V53" s="51"/>
      <c r="W53" s="51"/>
      <c r="X53" s="51"/>
      <c r="Y53" s="51"/>
      <c r="Z53" s="51"/>
    </row>
    <row r="54" spans="1:26" ht="14.25" customHeight="1" x14ac:dyDescent="0.3">
      <c r="A54" s="77"/>
      <c r="B54" s="83" t="s">
        <v>176</v>
      </c>
      <c r="C54" s="80"/>
      <c r="D54" s="82"/>
      <c r="E54" s="80"/>
      <c r="F54" s="80"/>
      <c r="G54" s="80"/>
      <c r="H54" s="80"/>
      <c r="I54" s="80"/>
      <c r="J54" s="51"/>
      <c r="K54" s="51"/>
      <c r="L54" s="51"/>
      <c r="M54" s="51"/>
      <c r="N54" s="51"/>
      <c r="O54" s="51"/>
      <c r="P54" s="51"/>
      <c r="Q54" s="51"/>
      <c r="R54" s="51"/>
      <c r="S54" s="51"/>
      <c r="T54" s="51"/>
      <c r="U54" s="51"/>
      <c r="V54" s="51"/>
      <c r="W54" s="51"/>
      <c r="X54" s="51"/>
      <c r="Y54" s="51"/>
      <c r="Z54" s="51"/>
    </row>
    <row r="55" spans="1:26" ht="14.25" customHeight="1" x14ac:dyDescent="0.3">
      <c r="A55" s="77"/>
      <c r="B55" s="233" t="s">
        <v>177</v>
      </c>
      <c r="C55" s="194"/>
      <c r="D55" s="194"/>
      <c r="E55" s="194"/>
      <c r="F55" s="194"/>
      <c r="G55" s="194"/>
      <c r="H55" s="194"/>
      <c r="I55" s="194"/>
      <c r="J55" s="51"/>
      <c r="K55" s="51"/>
      <c r="L55" s="51"/>
      <c r="M55" s="51"/>
      <c r="N55" s="51"/>
      <c r="O55" s="51"/>
      <c r="P55" s="51"/>
      <c r="Q55" s="51"/>
      <c r="R55" s="51"/>
      <c r="S55" s="51"/>
      <c r="T55" s="51"/>
      <c r="U55" s="51"/>
      <c r="V55" s="51"/>
      <c r="W55" s="51"/>
      <c r="X55" s="51"/>
      <c r="Y55" s="51"/>
      <c r="Z55" s="51"/>
    </row>
    <row r="56" spans="1:26" ht="14.25" customHeight="1" x14ac:dyDescent="0.3">
      <c r="A56" s="77"/>
      <c r="B56" s="233" t="s">
        <v>178</v>
      </c>
      <c r="C56" s="194"/>
      <c r="D56" s="194"/>
      <c r="E56" s="194"/>
      <c r="F56" s="194"/>
      <c r="G56" s="194"/>
      <c r="H56" s="194"/>
      <c r="I56" s="194"/>
      <c r="J56" s="51"/>
      <c r="K56" s="51"/>
      <c r="L56" s="51"/>
      <c r="M56" s="51"/>
      <c r="N56" s="51"/>
      <c r="O56" s="51"/>
      <c r="P56" s="51"/>
      <c r="Q56" s="51"/>
      <c r="R56" s="51"/>
      <c r="S56" s="51"/>
      <c r="T56" s="51"/>
      <c r="U56" s="51"/>
      <c r="V56" s="51"/>
      <c r="W56" s="51"/>
      <c r="X56" s="51"/>
      <c r="Y56" s="51"/>
      <c r="Z56" s="51"/>
    </row>
    <row r="57" spans="1:26" ht="14.25" customHeight="1" x14ac:dyDescent="0.3">
      <c r="A57" s="77"/>
      <c r="B57" s="233" t="s">
        <v>179</v>
      </c>
      <c r="C57" s="194"/>
      <c r="D57" s="194"/>
      <c r="E57" s="194"/>
      <c r="F57" s="194"/>
      <c r="G57" s="194"/>
      <c r="H57" s="194"/>
      <c r="I57" s="194"/>
      <c r="J57" s="51"/>
      <c r="K57" s="51"/>
      <c r="L57" s="51"/>
      <c r="M57" s="51"/>
      <c r="N57" s="51"/>
      <c r="O57" s="51"/>
      <c r="P57" s="51"/>
      <c r="Q57" s="51"/>
      <c r="R57" s="51"/>
      <c r="S57" s="51"/>
      <c r="T57" s="51"/>
      <c r="U57" s="51"/>
      <c r="V57" s="51"/>
      <c r="W57" s="51"/>
      <c r="X57" s="51"/>
      <c r="Y57" s="51"/>
      <c r="Z57" s="51"/>
    </row>
    <row r="58" spans="1:26" ht="26.25" customHeight="1" x14ac:dyDescent="0.3">
      <c r="A58" s="77"/>
      <c r="B58" s="81"/>
      <c r="C58" s="80"/>
      <c r="D58" s="216" t="s">
        <v>263</v>
      </c>
      <c r="E58" s="194"/>
      <c r="F58" s="194"/>
      <c r="G58" s="194"/>
      <c r="H58" s="194"/>
      <c r="I58" s="194"/>
      <c r="J58" s="51"/>
      <c r="K58" s="51"/>
      <c r="L58" s="51"/>
      <c r="M58" s="51"/>
      <c r="N58" s="51"/>
      <c r="O58" s="51"/>
      <c r="P58" s="51"/>
      <c r="Q58" s="51"/>
      <c r="R58" s="51"/>
      <c r="S58" s="51"/>
      <c r="T58" s="51"/>
      <c r="U58" s="51"/>
      <c r="V58" s="51"/>
      <c r="W58" s="51"/>
      <c r="X58" s="51"/>
      <c r="Y58" s="51"/>
      <c r="Z58" s="51"/>
    </row>
    <row r="59" spans="1:26" ht="14.25" customHeight="1" x14ac:dyDescent="0.3">
      <c r="A59" s="84"/>
      <c r="B59" s="51"/>
      <c r="C59" s="51"/>
      <c r="D59" s="85"/>
      <c r="E59" s="51"/>
      <c r="F59" s="51"/>
      <c r="G59" s="51"/>
      <c r="H59" s="51"/>
      <c r="I59" s="51"/>
      <c r="J59" s="51"/>
      <c r="K59" s="51"/>
      <c r="L59" s="51"/>
      <c r="M59" s="51"/>
      <c r="N59" s="51"/>
      <c r="O59" s="51"/>
      <c r="P59" s="51"/>
      <c r="Q59" s="51"/>
      <c r="R59" s="51"/>
      <c r="S59" s="51"/>
      <c r="T59" s="51"/>
      <c r="U59" s="51"/>
      <c r="V59" s="51"/>
      <c r="W59" s="51"/>
      <c r="X59" s="51"/>
      <c r="Y59" s="51"/>
      <c r="Z59" s="51"/>
    </row>
    <row r="60" spans="1:26" ht="14.25" customHeight="1" x14ac:dyDescent="0.3">
      <c r="A60" s="84"/>
      <c r="B60" s="51"/>
      <c r="C60" s="51"/>
      <c r="D60" s="85"/>
      <c r="E60" s="51"/>
      <c r="F60" s="51"/>
      <c r="G60" s="51"/>
      <c r="H60" s="51"/>
      <c r="I60" s="51"/>
      <c r="J60" s="51"/>
      <c r="K60" s="51"/>
      <c r="L60" s="51"/>
      <c r="M60" s="51"/>
      <c r="N60" s="51"/>
      <c r="O60" s="51"/>
      <c r="P60" s="51"/>
      <c r="Q60" s="51"/>
      <c r="R60" s="51"/>
      <c r="S60" s="51"/>
      <c r="T60" s="51"/>
      <c r="U60" s="51"/>
      <c r="V60" s="51"/>
      <c r="W60" s="51"/>
      <c r="X60" s="51"/>
      <c r="Y60" s="51"/>
      <c r="Z60" s="51"/>
    </row>
    <row r="61" spans="1:26" ht="14.25" customHeight="1" x14ac:dyDescent="0.3">
      <c r="A61" s="84"/>
      <c r="B61" s="51"/>
      <c r="C61" s="51"/>
      <c r="D61" s="85"/>
      <c r="E61" s="51"/>
      <c r="F61" s="51"/>
      <c r="G61" s="51"/>
      <c r="H61" s="51"/>
      <c r="I61" s="51"/>
      <c r="J61" s="51"/>
      <c r="K61" s="51"/>
      <c r="L61" s="51"/>
      <c r="M61" s="51"/>
      <c r="N61" s="51"/>
      <c r="O61" s="51"/>
      <c r="P61" s="51"/>
      <c r="Q61" s="51"/>
      <c r="R61" s="51"/>
      <c r="S61" s="51"/>
      <c r="T61" s="51"/>
      <c r="U61" s="51"/>
      <c r="V61" s="51"/>
      <c r="W61" s="51"/>
      <c r="X61" s="51"/>
      <c r="Y61" s="51"/>
      <c r="Z61" s="51"/>
    </row>
    <row r="62" spans="1:26" ht="14.25" customHeight="1" x14ac:dyDescent="0.3">
      <c r="A62" s="84"/>
      <c r="B62" s="51"/>
      <c r="C62" s="51"/>
      <c r="D62" s="85"/>
      <c r="E62" s="51"/>
      <c r="F62" s="51"/>
      <c r="G62" s="51"/>
      <c r="H62" s="51"/>
      <c r="I62" s="51"/>
      <c r="J62" s="51"/>
      <c r="K62" s="51"/>
      <c r="L62" s="51"/>
      <c r="M62" s="51"/>
      <c r="N62" s="51"/>
      <c r="O62" s="51"/>
      <c r="P62" s="51"/>
      <c r="Q62" s="51"/>
      <c r="R62" s="51"/>
      <c r="S62" s="51"/>
      <c r="T62" s="51"/>
      <c r="U62" s="51"/>
      <c r="V62" s="51"/>
      <c r="W62" s="51"/>
      <c r="X62" s="51"/>
      <c r="Y62" s="51"/>
      <c r="Z62" s="51"/>
    </row>
    <row r="63" spans="1:26" ht="14.25" customHeight="1" x14ac:dyDescent="0.3">
      <c r="A63" s="84"/>
      <c r="B63" s="51"/>
      <c r="C63" s="51"/>
      <c r="D63" s="85"/>
      <c r="E63" s="51"/>
      <c r="F63" s="51"/>
      <c r="G63" s="51"/>
      <c r="H63" s="51"/>
      <c r="I63" s="51"/>
      <c r="J63" s="51"/>
      <c r="K63" s="51"/>
      <c r="L63" s="51"/>
      <c r="M63" s="51"/>
      <c r="N63" s="51"/>
      <c r="O63" s="51"/>
      <c r="P63" s="51"/>
      <c r="Q63" s="51"/>
      <c r="R63" s="51"/>
      <c r="S63" s="51"/>
      <c r="T63" s="51"/>
      <c r="U63" s="51"/>
      <c r="V63" s="51"/>
      <c r="W63" s="51"/>
      <c r="X63" s="51"/>
      <c r="Y63" s="51"/>
      <c r="Z63" s="51"/>
    </row>
    <row r="64" spans="1:26" ht="14.25" customHeight="1" x14ac:dyDescent="0.3">
      <c r="A64" s="84"/>
      <c r="B64" s="51"/>
      <c r="C64" s="51"/>
      <c r="D64" s="85"/>
      <c r="E64" s="51"/>
      <c r="F64" s="51"/>
      <c r="G64" s="51"/>
      <c r="H64" s="51"/>
      <c r="I64" s="51"/>
      <c r="J64" s="51"/>
      <c r="K64" s="51"/>
      <c r="L64" s="51"/>
      <c r="M64" s="51"/>
      <c r="N64" s="51"/>
      <c r="O64" s="51"/>
      <c r="P64" s="51"/>
      <c r="Q64" s="51"/>
      <c r="R64" s="51"/>
      <c r="S64" s="51"/>
      <c r="T64" s="51"/>
      <c r="U64" s="51"/>
      <c r="V64" s="51"/>
      <c r="W64" s="51"/>
      <c r="X64" s="51"/>
      <c r="Y64" s="51"/>
      <c r="Z64" s="51"/>
    </row>
    <row r="65" spans="1:26" ht="14.25" customHeight="1" x14ac:dyDescent="0.3">
      <c r="A65" s="84"/>
      <c r="B65" s="51"/>
      <c r="C65" s="51"/>
      <c r="D65" s="85"/>
      <c r="E65" s="51"/>
      <c r="F65" s="51"/>
      <c r="G65" s="51"/>
      <c r="H65" s="51"/>
      <c r="I65" s="51"/>
      <c r="J65" s="51"/>
      <c r="K65" s="51"/>
      <c r="L65" s="51"/>
      <c r="M65" s="51"/>
      <c r="N65" s="51"/>
      <c r="O65" s="51"/>
      <c r="P65" s="51"/>
      <c r="Q65" s="51"/>
      <c r="R65" s="51"/>
      <c r="S65" s="51"/>
      <c r="T65" s="51"/>
      <c r="U65" s="51"/>
      <c r="V65" s="51"/>
      <c r="W65" s="51"/>
      <c r="X65" s="51"/>
      <c r="Y65" s="51"/>
      <c r="Z65" s="51"/>
    </row>
    <row r="66" spans="1:26" ht="14.25" customHeight="1" x14ac:dyDescent="0.3">
      <c r="A66" s="84"/>
      <c r="B66" s="51"/>
      <c r="C66" s="51"/>
      <c r="D66" s="85"/>
      <c r="E66" s="51"/>
      <c r="F66" s="51"/>
      <c r="G66" s="51"/>
      <c r="H66" s="51"/>
      <c r="I66" s="51"/>
      <c r="J66" s="51"/>
      <c r="K66" s="51"/>
      <c r="L66" s="51"/>
      <c r="M66" s="51"/>
      <c r="N66" s="51"/>
      <c r="O66" s="51"/>
      <c r="P66" s="51"/>
      <c r="Q66" s="51"/>
      <c r="R66" s="51"/>
      <c r="S66" s="51"/>
      <c r="T66" s="51"/>
      <c r="U66" s="51"/>
      <c r="V66" s="51"/>
      <c r="W66" s="51"/>
      <c r="X66" s="51"/>
      <c r="Y66" s="51"/>
      <c r="Z66" s="51"/>
    </row>
    <row r="67" spans="1:26" ht="14.25" customHeight="1" x14ac:dyDescent="0.3">
      <c r="A67" s="84"/>
      <c r="B67" s="51"/>
      <c r="C67" s="51"/>
      <c r="D67" s="85"/>
      <c r="E67" s="51"/>
      <c r="F67" s="51"/>
      <c r="G67" s="51"/>
      <c r="H67" s="51"/>
      <c r="I67" s="51"/>
      <c r="J67" s="51"/>
      <c r="K67" s="51"/>
      <c r="L67" s="51"/>
      <c r="M67" s="51"/>
      <c r="N67" s="51"/>
      <c r="O67" s="51"/>
      <c r="P67" s="51"/>
      <c r="Q67" s="51"/>
      <c r="R67" s="51"/>
      <c r="S67" s="51"/>
      <c r="T67" s="51"/>
      <c r="U67" s="51"/>
      <c r="V67" s="51"/>
      <c r="W67" s="51"/>
      <c r="X67" s="51"/>
      <c r="Y67" s="51"/>
      <c r="Z67" s="51"/>
    </row>
    <row r="68" spans="1:26" ht="14.25" customHeight="1" x14ac:dyDescent="0.3">
      <c r="A68" s="84"/>
      <c r="B68" s="51"/>
      <c r="C68" s="51"/>
      <c r="D68" s="85"/>
      <c r="E68" s="51"/>
      <c r="F68" s="51"/>
      <c r="G68" s="51"/>
      <c r="H68" s="51"/>
      <c r="I68" s="51"/>
      <c r="J68" s="51"/>
      <c r="K68" s="51"/>
      <c r="L68" s="51"/>
      <c r="M68" s="51"/>
      <c r="N68" s="51"/>
      <c r="O68" s="51"/>
      <c r="P68" s="51"/>
      <c r="Q68" s="51"/>
      <c r="R68" s="51"/>
      <c r="S68" s="51"/>
      <c r="T68" s="51"/>
      <c r="U68" s="51"/>
      <c r="V68" s="51"/>
      <c r="W68" s="51"/>
      <c r="X68" s="51"/>
      <c r="Y68" s="51"/>
      <c r="Z68" s="51"/>
    </row>
    <row r="69" spans="1:26" ht="14.25" customHeight="1" x14ac:dyDescent="0.3">
      <c r="A69" s="84"/>
      <c r="B69" s="51"/>
      <c r="C69" s="51"/>
      <c r="D69" s="85"/>
      <c r="E69" s="51"/>
      <c r="F69" s="51"/>
      <c r="G69" s="51"/>
      <c r="H69" s="51"/>
      <c r="I69" s="51"/>
      <c r="J69" s="51"/>
      <c r="K69" s="51"/>
      <c r="L69" s="51"/>
      <c r="M69" s="51"/>
      <c r="N69" s="51"/>
      <c r="O69" s="51"/>
      <c r="P69" s="51"/>
      <c r="Q69" s="51"/>
      <c r="R69" s="51"/>
      <c r="S69" s="51"/>
      <c r="T69" s="51"/>
      <c r="U69" s="51"/>
      <c r="V69" s="51"/>
      <c r="W69" s="51"/>
      <c r="X69" s="51"/>
      <c r="Y69" s="51"/>
      <c r="Z69" s="51"/>
    </row>
    <row r="70" spans="1:26" ht="14.25" customHeight="1" x14ac:dyDescent="0.3">
      <c r="A70" s="84"/>
      <c r="B70" s="51"/>
      <c r="C70" s="51"/>
      <c r="D70" s="85"/>
      <c r="E70" s="51"/>
      <c r="F70" s="51"/>
      <c r="G70" s="51"/>
      <c r="H70" s="51"/>
      <c r="I70" s="51"/>
      <c r="J70" s="51"/>
      <c r="K70" s="51"/>
      <c r="L70" s="51"/>
      <c r="M70" s="51"/>
      <c r="N70" s="51"/>
      <c r="O70" s="51"/>
      <c r="P70" s="51"/>
      <c r="Q70" s="51"/>
      <c r="R70" s="51"/>
      <c r="S70" s="51"/>
      <c r="T70" s="51"/>
      <c r="U70" s="51"/>
      <c r="V70" s="51"/>
      <c r="W70" s="51"/>
      <c r="X70" s="51"/>
      <c r="Y70" s="51"/>
      <c r="Z70" s="51"/>
    </row>
    <row r="71" spans="1:26" ht="14.25" customHeight="1" x14ac:dyDescent="0.3">
      <c r="A71" s="84"/>
      <c r="B71" s="51"/>
      <c r="C71" s="51"/>
      <c r="D71" s="85"/>
      <c r="E71" s="51"/>
      <c r="F71" s="51"/>
      <c r="G71" s="51"/>
      <c r="H71" s="51"/>
      <c r="I71" s="51"/>
      <c r="J71" s="51"/>
      <c r="K71" s="51"/>
      <c r="L71" s="51"/>
      <c r="M71" s="51"/>
      <c r="N71" s="51"/>
      <c r="O71" s="51"/>
      <c r="P71" s="51"/>
      <c r="Q71" s="51"/>
      <c r="R71" s="51"/>
      <c r="S71" s="51"/>
      <c r="T71" s="51"/>
      <c r="U71" s="51"/>
      <c r="V71" s="51"/>
      <c r="W71" s="51"/>
      <c r="X71" s="51"/>
      <c r="Y71" s="51"/>
      <c r="Z71" s="51"/>
    </row>
    <row r="72" spans="1:26" ht="14.25" customHeight="1" x14ac:dyDescent="0.3">
      <c r="A72" s="84"/>
      <c r="B72" s="51"/>
      <c r="C72" s="51"/>
      <c r="D72" s="85"/>
      <c r="E72" s="51"/>
      <c r="F72" s="51"/>
      <c r="G72" s="51"/>
      <c r="H72" s="51"/>
      <c r="I72" s="51"/>
      <c r="J72" s="51"/>
      <c r="K72" s="51"/>
      <c r="L72" s="51"/>
      <c r="M72" s="51"/>
      <c r="N72" s="51"/>
      <c r="O72" s="51"/>
      <c r="P72" s="51"/>
      <c r="Q72" s="51"/>
      <c r="R72" s="51"/>
      <c r="S72" s="51"/>
      <c r="T72" s="51"/>
      <c r="U72" s="51"/>
      <c r="V72" s="51"/>
      <c r="W72" s="51"/>
      <c r="X72" s="51"/>
      <c r="Y72" s="51"/>
      <c r="Z72" s="51"/>
    </row>
    <row r="73" spans="1:26" ht="14.25" customHeight="1" x14ac:dyDescent="0.3">
      <c r="A73" s="84"/>
      <c r="B73" s="51"/>
      <c r="C73" s="51"/>
      <c r="D73" s="85"/>
      <c r="E73" s="51"/>
      <c r="F73" s="51"/>
      <c r="G73" s="51"/>
      <c r="H73" s="51"/>
      <c r="I73" s="51"/>
      <c r="J73" s="51"/>
      <c r="K73" s="51"/>
      <c r="L73" s="51"/>
      <c r="M73" s="51"/>
      <c r="N73" s="51"/>
      <c r="O73" s="51"/>
      <c r="P73" s="51"/>
      <c r="Q73" s="51"/>
      <c r="R73" s="51"/>
      <c r="S73" s="51"/>
      <c r="T73" s="51"/>
      <c r="U73" s="51"/>
      <c r="V73" s="51"/>
      <c r="W73" s="51"/>
      <c r="X73" s="51"/>
      <c r="Y73" s="51"/>
      <c r="Z73" s="51"/>
    </row>
    <row r="74" spans="1:26" ht="14.25" customHeight="1" x14ac:dyDescent="0.3">
      <c r="A74" s="84"/>
      <c r="B74" s="51"/>
      <c r="C74" s="51"/>
      <c r="D74" s="85"/>
      <c r="E74" s="51"/>
      <c r="F74" s="51"/>
      <c r="G74" s="51"/>
      <c r="H74" s="51"/>
      <c r="I74" s="51"/>
      <c r="J74" s="51"/>
      <c r="K74" s="51"/>
      <c r="L74" s="51"/>
      <c r="M74" s="51"/>
      <c r="N74" s="51"/>
      <c r="O74" s="51"/>
      <c r="P74" s="51"/>
      <c r="Q74" s="51"/>
      <c r="R74" s="51"/>
      <c r="S74" s="51"/>
      <c r="T74" s="51"/>
      <c r="U74" s="51"/>
      <c r="V74" s="51"/>
      <c r="W74" s="51"/>
      <c r="X74" s="51"/>
      <c r="Y74" s="51"/>
      <c r="Z74" s="51"/>
    </row>
    <row r="75" spans="1:26" ht="14.25" customHeight="1" x14ac:dyDescent="0.3">
      <c r="A75" s="84"/>
      <c r="B75" s="51"/>
      <c r="C75" s="51"/>
      <c r="D75" s="85"/>
      <c r="E75" s="51"/>
      <c r="F75" s="51"/>
      <c r="G75" s="51"/>
      <c r="H75" s="51"/>
      <c r="I75" s="51"/>
      <c r="J75" s="51"/>
      <c r="K75" s="51"/>
      <c r="L75" s="51"/>
      <c r="M75" s="51"/>
      <c r="N75" s="51"/>
      <c r="O75" s="51"/>
      <c r="P75" s="51"/>
      <c r="Q75" s="51"/>
      <c r="R75" s="51"/>
      <c r="S75" s="51"/>
      <c r="T75" s="51"/>
      <c r="U75" s="51"/>
      <c r="V75" s="51"/>
      <c r="W75" s="51"/>
      <c r="X75" s="51"/>
      <c r="Y75" s="51"/>
      <c r="Z75" s="51"/>
    </row>
    <row r="76" spans="1:26" ht="14.25" customHeight="1" x14ac:dyDescent="0.3">
      <c r="A76" s="84"/>
      <c r="B76" s="51"/>
      <c r="C76" s="51"/>
      <c r="D76" s="85"/>
      <c r="E76" s="51"/>
      <c r="F76" s="51"/>
      <c r="G76" s="51"/>
      <c r="H76" s="51"/>
      <c r="I76" s="51"/>
      <c r="J76" s="51"/>
      <c r="K76" s="51"/>
      <c r="L76" s="51"/>
      <c r="M76" s="51"/>
      <c r="N76" s="51"/>
      <c r="O76" s="51"/>
      <c r="P76" s="51"/>
      <c r="Q76" s="51"/>
      <c r="R76" s="51"/>
      <c r="S76" s="51"/>
      <c r="T76" s="51"/>
      <c r="U76" s="51"/>
      <c r="V76" s="51"/>
      <c r="W76" s="51"/>
      <c r="X76" s="51"/>
      <c r="Y76" s="51"/>
      <c r="Z76" s="51"/>
    </row>
    <row r="77" spans="1:26" ht="14.25" customHeight="1" x14ac:dyDescent="0.3">
      <c r="A77" s="84"/>
      <c r="B77" s="51"/>
      <c r="C77" s="51"/>
      <c r="D77" s="85"/>
      <c r="E77" s="51"/>
      <c r="F77" s="51"/>
      <c r="G77" s="51"/>
      <c r="H77" s="51"/>
      <c r="I77" s="51"/>
      <c r="J77" s="51"/>
      <c r="K77" s="51"/>
      <c r="L77" s="51"/>
      <c r="M77" s="51"/>
      <c r="N77" s="51"/>
      <c r="O77" s="51"/>
      <c r="P77" s="51"/>
      <c r="Q77" s="51"/>
      <c r="R77" s="51"/>
      <c r="S77" s="51"/>
      <c r="T77" s="51"/>
      <c r="U77" s="51"/>
      <c r="V77" s="51"/>
      <c r="W77" s="51"/>
      <c r="X77" s="51"/>
      <c r="Y77" s="51"/>
      <c r="Z77" s="51"/>
    </row>
    <row r="78" spans="1:26" ht="14.25" customHeight="1" x14ac:dyDescent="0.3">
      <c r="A78" s="84"/>
      <c r="B78" s="51"/>
      <c r="C78" s="51"/>
      <c r="D78" s="85"/>
      <c r="E78" s="51"/>
      <c r="F78" s="51"/>
      <c r="G78" s="51"/>
      <c r="H78" s="51"/>
      <c r="I78" s="51"/>
      <c r="J78" s="51"/>
      <c r="K78" s="51"/>
      <c r="L78" s="51"/>
      <c r="M78" s="51"/>
      <c r="N78" s="51"/>
      <c r="O78" s="51"/>
      <c r="P78" s="51"/>
      <c r="Q78" s="51"/>
      <c r="R78" s="51"/>
      <c r="S78" s="51"/>
      <c r="T78" s="51"/>
      <c r="U78" s="51"/>
      <c r="V78" s="51"/>
      <c r="W78" s="51"/>
      <c r="X78" s="51"/>
      <c r="Y78" s="51"/>
      <c r="Z78" s="51"/>
    </row>
    <row r="79" spans="1:26" ht="14.25" customHeight="1" x14ac:dyDescent="0.3">
      <c r="A79" s="84"/>
      <c r="B79" s="51"/>
      <c r="C79" s="51"/>
      <c r="D79" s="85"/>
      <c r="E79" s="51"/>
      <c r="F79" s="51"/>
      <c r="G79" s="51"/>
      <c r="H79" s="51"/>
      <c r="I79" s="51"/>
      <c r="J79" s="51"/>
      <c r="K79" s="51"/>
      <c r="L79" s="51"/>
      <c r="M79" s="51"/>
      <c r="N79" s="51"/>
      <c r="O79" s="51"/>
      <c r="P79" s="51"/>
      <c r="Q79" s="51"/>
      <c r="R79" s="51"/>
      <c r="S79" s="51"/>
      <c r="T79" s="51"/>
      <c r="U79" s="51"/>
      <c r="V79" s="51"/>
      <c r="W79" s="51"/>
      <c r="X79" s="51"/>
      <c r="Y79" s="51"/>
      <c r="Z79" s="51"/>
    </row>
    <row r="80" spans="1:26" ht="14.25" customHeight="1" x14ac:dyDescent="0.3">
      <c r="A80" s="84"/>
      <c r="B80" s="51"/>
      <c r="C80" s="51"/>
      <c r="D80" s="85"/>
      <c r="E80" s="51"/>
      <c r="F80" s="51"/>
      <c r="G80" s="51"/>
      <c r="H80" s="51"/>
      <c r="I80" s="51"/>
      <c r="J80" s="51"/>
      <c r="K80" s="51"/>
      <c r="L80" s="51"/>
      <c r="M80" s="51"/>
      <c r="N80" s="51"/>
      <c r="O80" s="51"/>
      <c r="P80" s="51"/>
      <c r="Q80" s="51"/>
      <c r="R80" s="51"/>
      <c r="S80" s="51"/>
      <c r="T80" s="51"/>
      <c r="U80" s="51"/>
      <c r="V80" s="51"/>
      <c r="W80" s="51"/>
      <c r="X80" s="51"/>
      <c r="Y80" s="51"/>
      <c r="Z80" s="51"/>
    </row>
    <row r="81" spans="1:26" ht="14.25" customHeight="1" x14ac:dyDescent="0.3">
      <c r="A81" s="84"/>
      <c r="B81" s="51"/>
      <c r="C81" s="51"/>
      <c r="D81" s="85"/>
      <c r="E81" s="51"/>
      <c r="F81" s="51"/>
      <c r="G81" s="51"/>
      <c r="H81" s="51"/>
      <c r="I81" s="51"/>
      <c r="J81" s="51"/>
      <c r="K81" s="51"/>
      <c r="L81" s="51"/>
      <c r="M81" s="51"/>
      <c r="N81" s="51"/>
      <c r="O81" s="51"/>
      <c r="P81" s="51"/>
      <c r="Q81" s="51"/>
      <c r="R81" s="51"/>
      <c r="S81" s="51"/>
      <c r="T81" s="51"/>
      <c r="U81" s="51"/>
      <c r="V81" s="51"/>
      <c r="W81" s="51"/>
      <c r="X81" s="51"/>
      <c r="Y81" s="51"/>
      <c r="Z81" s="51"/>
    </row>
    <row r="82" spans="1:26" ht="14.25" customHeight="1" x14ac:dyDescent="0.3">
      <c r="A82" s="84"/>
      <c r="B82" s="51"/>
      <c r="C82" s="51"/>
      <c r="D82" s="85"/>
      <c r="E82" s="51"/>
      <c r="F82" s="51"/>
      <c r="G82" s="51"/>
      <c r="H82" s="51"/>
      <c r="I82" s="51"/>
      <c r="J82" s="51"/>
      <c r="K82" s="51"/>
      <c r="L82" s="51"/>
      <c r="M82" s="51"/>
      <c r="N82" s="51"/>
      <c r="O82" s="51"/>
      <c r="P82" s="51"/>
      <c r="Q82" s="51"/>
      <c r="R82" s="51"/>
      <c r="S82" s="51"/>
      <c r="T82" s="51"/>
      <c r="U82" s="51"/>
      <c r="V82" s="51"/>
      <c r="W82" s="51"/>
      <c r="X82" s="51"/>
      <c r="Y82" s="51"/>
      <c r="Z82" s="51"/>
    </row>
    <row r="83" spans="1:26" ht="14.25" customHeight="1" x14ac:dyDescent="0.3">
      <c r="A83" s="84"/>
      <c r="B83" s="51"/>
      <c r="C83" s="51"/>
      <c r="D83" s="85"/>
      <c r="E83" s="51"/>
      <c r="F83" s="51"/>
      <c r="G83" s="51"/>
      <c r="H83" s="51"/>
      <c r="I83" s="51"/>
      <c r="J83" s="51"/>
      <c r="K83" s="51"/>
      <c r="L83" s="51"/>
      <c r="M83" s="51"/>
      <c r="N83" s="51"/>
      <c r="O83" s="51"/>
      <c r="P83" s="51"/>
      <c r="Q83" s="51"/>
      <c r="R83" s="51"/>
      <c r="S83" s="51"/>
      <c r="T83" s="51"/>
      <c r="U83" s="51"/>
      <c r="V83" s="51"/>
      <c r="W83" s="51"/>
      <c r="X83" s="51"/>
      <c r="Y83" s="51"/>
      <c r="Z83" s="51"/>
    </row>
    <row r="84" spans="1:26" ht="14.25" customHeight="1" x14ac:dyDescent="0.3">
      <c r="A84" s="84"/>
      <c r="B84" s="51"/>
      <c r="C84" s="51"/>
      <c r="D84" s="85"/>
      <c r="E84" s="51"/>
      <c r="F84" s="51"/>
      <c r="G84" s="51"/>
      <c r="H84" s="51"/>
      <c r="I84" s="51"/>
      <c r="J84" s="51"/>
      <c r="K84" s="51"/>
      <c r="L84" s="51"/>
      <c r="M84" s="51"/>
      <c r="N84" s="51"/>
      <c r="O84" s="51"/>
      <c r="P84" s="51"/>
      <c r="Q84" s="51"/>
      <c r="R84" s="51"/>
      <c r="S84" s="51"/>
      <c r="T84" s="51"/>
      <c r="U84" s="51"/>
      <c r="V84" s="51"/>
      <c r="W84" s="51"/>
      <c r="X84" s="51"/>
      <c r="Y84" s="51"/>
      <c r="Z84" s="51"/>
    </row>
    <row r="85" spans="1:26" ht="14.25" customHeight="1" x14ac:dyDescent="0.3">
      <c r="A85" s="84"/>
      <c r="B85" s="51"/>
      <c r="C85" s="51"/>
      <c r="D85" s="85"/>
      <c r="E85" s="51"/>
      <c r="F85" s="51"/>
      <c r="G85" s="51"/>
      <c r="H85" s="51"/>
      <c r="I85" s="51"/>
      <c r="J85" s="51"/>
      <c r="K85" s="51"/>
      <c r="L85" s="51"/>
      <c r="M85" s="51"/>
      <c r="N85" s="51"/>
      <c r="O85" s="51"/>
      <c r="P85" s="51"/>
      <c r="Q85" s="51"/>
      <c r="R85" s="51"/>
      <c r="S85" s="51"/>
      <c r="T85" s="51"/>
      <c r="U85" s="51"/>
      <c r="V85" s="51"/>
      <c r="W85" s="51"/>
      <c r="X85" s="51"/>
      <c r="Y85" s="51"/>
      <c r="Z85" s="51"/>
    </row>
    <row r="86" spans="1:26" ht="14.25" customHeight="1" x14ac:dyDescent="0.3">
      <c r="A86" s="84"/>
      <c r="B86" s="51"/>
      <c r="C86" s="51"/>
      <c r="D86" s="85"/>
      <c r="E86" s="51"/>
      <c r="F86" s="51"/>
      <c r="G86" s="51"/>
      <c r="H86" s="51"/>
      <c r="I86" s="51"/>
      <c r="J86" s="51"/>
      <c r="K86" s="51"/>
      <c r="L86" s="51"/>
      <c r="M86" s="51"/>
      <c r="N86" s="51"/>
      <c r="O86" s="51"/>
      <c r="P86" s="51"/>
      <c r="Q86" s="51"/>
      <c r="R86" s="51"/>
      <c r="S86" s="51"/>
      <c r="T86" s="51"/>
      <c r="U86" s="51"/>
      <c r="V86" s="51"/>
      <c r="W86" s="51"/>
      <c r="X86" s="51"/>
      <c r="Y86" s="51"/>
      <c r="Z86" s="51"/>
    </row>
    <row r="87" spans="1:26" ht="14.25" customHeight="1" x14ac:dyDescent="0.3">
      <c r="A87" s="84"/>
      <c r="B87" s="51"/>
      <c r="C87" s="51"/>
      <c r="D87" s="85"/>
      <c r="E87" s="51"/>
      <c r="F87" s="51"/>
      <c r="G87" s="51"/>
      <c r="H87" s="51"/>
      <c r="I87" s="51"/>
      <c r="J87" s="51"/>
      <c r="K87" s="51"/>
      <c r="L87" s="51"/>
      <c r="M87" s="51"/>
      <c r="N87" s="51"/>
      <c r="O87" s="51"/>
      <c r="P87" s="51"/>
      <c r="Q87" s="51"/>
      <c r="R87" s="51"/>
      <c r="S87" s="51"/>
      <c r="T87" s="51"/>
      <c r="U87" s="51"/>
      <c r="V87" s="51"/>
      <c r="W87" s="51"/>
      <c r="X87" s="51"/>
      <c r="Y87" s="51"/>
      <c r="Z87" s="51"/>
    </row>
    <row r="88" spans="1:26" ht="14.25" customHeight="1" x14ac:dyDescent="0.3">
      <c r="A88" s="84"/>
      <c r="B88" s="51"/>
      <c r="C88" s="51"/>
      <c r="D88" s="85"/>
      <c r="E88" s="51"/>
      <c r="F88" s="51"/>
      <c r="G88" s="51"/>
      <c r="H88" s="51"/>
      <c r="I88" s="51"/>
      <c r="J88" s="51"/>
      <c r="K88" s="51"/>
      <c r="L88" s="51"/>
      <c r="M88" s="51"/>
      <c r="N88" s="51"/>
      <c r="O88" s="51"/>
      <c r="P88" s="51"/>
      <c r="Q88" s="51"/>
      <c r="R88" s="51"/>
      <c r="S88" s="51"/>
      <c r="T88" s="51"/>
      <c r="U88" s="51"/>
      <c r="V88" s="51"/>
      <c r="W88" s="51"/>
      <c r="X88" s="51"/>
      <c r="Y88" s="51"/>
      <c r="Z88" s="51"/>
    </row>
    <row r="89" spans="1:26" ht="14.25" customHeight="1" x14ac:dyDescent="0.3">
      <c r="A89" s="84"/>
      <c r="B89" s="51"/>
      <c r="C89" s="51"/>
      <c r="D89" s="85"/>
      <c r="E89" s="51"/>
      <c r="F89" s="51"/>
      <c r="G89" s="51"/>
      <c r="H89" s="51"/>
      <c r="I89" s="51"/>
      <c r="J89" s="51"/>
      <c r="K89" s="51"/>
      <c r="L89" s="51"/>
      <c r="M89" s="51"/>
      <c r="N89" s="51"/>
      <c r="O89" s="51"/>
      <c r="P89" s="51"/>
      <c r="Q89" s="51"/>
      <c r="R89" s="51"/>
      <c r="S89" s="51"/>
      <c r="T89" s="51"/>
      <c r="U89" s="51"/>
      <c r="V89" s="51"/>
      <c r="W89" s="51"/>
      <c r="X89" s="51"/>
      <c r="Y89" s="51"/>
      <c r="Z89" s="51"/>
    </row>
    <row r="90" spans="1:26" ht="14.25" customHeight="1" x14ac:dyDescent="0.3">
      <c r="A90" s="84"/>
      <c r="B90" s="51"/>
      <c r="C90" s="51"/>
      <c r="D90" s="85"/>
      <c r="E90" s="51"/>
      <c r="F90" s="51"/>
      <c r="G90" s="51"/>
      <c r="H90" s="51"/>
      <c r="I90" s="51"/>
      <c r="J90" s="51"/>
      <c r="K90" s="51"/>
      <c r="L90" s="51"/>
      <c r="M90" s="51"/>
      <c r="N90" s="51"/>
      <c r="O90" s="51"/>
      <c r="P90" s="51"/>
      <c r="Q90" s="51"/>
      <c r="R90" s="51"/>
      <c r="S90" s="51"/>
      <c r="T90" s="51"/>
      <c r="U90" s="51"/>
      <c r="V90" s="51"/>
      <c r="W90" s="51"/>
      <c r="X90" s="51"/>
      <c r="Y90" s="51"/>
      <c r="Z90" s="51"/>
    </row>
    <row r="91" spans="1:26" ht="14.25" customHeight="1" x14ac:dyDescent="0.3">
      <c r="A91" s="84"/>
      <c r="B91" s="51"/>
      <c r="C91" s="51"/>
      <c r="D91" s="85"/>
      <c r="E91" s="51"/>
      <c r="F91" s="51"/>
      <c r="G91" s="51"/>
      <c r="H91" s="51"/>
      <c r="I91" s="51"/>
      <c r="J91" s="51"/>
      <c r="K91" s="51"/>
      <c r="L91" s="51"/>
      <c r="M91" s="51"/>
      <c r="N91" s="51"/>
      <c r="O91" s="51"/>
      <c r="P91" s="51"/>
      <c r="Q91" s="51"/>
      <c r="R91" s="51"/>
      <c r="S91" s="51"/>
      <c r="T91" s="51"/>
      <c r="U91" s="51"/>
      <c r="V91" s="51"/>
      <c r="W91" s="51"/>
      <c r="X91" s="51"/>
      <c r="Y91" s="51"/>
      <c r="Z91" s="51"/>
    </row>
    <row r="92" spans="1:26" ht="14.25" customHeight="1" x14ac:dyDescent="0.3">
      <c r="A92" s="84"/>
      <c r="B92" s="51"/>
      <c r="C92" s="51"/>
      <c r="D92" s="85"/>
      <c r="E92" s="51"/>
      <c r="F92" s="51"/>
      <c r="G92" s="51"/>
      <c r="H92" s="51"/>
      <c r="I92" s="51"/>
      <c r="J92" s="51"/>
      <c r="K92" s="51"/>
      <c r="L92" s="51"/>
      <c r="M92" s="51"/>
      <c r="N92" s="51"/>
      <c r="O92" s="51"/>
      <c r="P92" s="51"/>
      <c r="Q92" s="51"/>
      <c r="R92" s="51"/>
      <c r="S92" s="51"/>
      <c r="T92" s="51"/>
      <c r="U92" s="51"/>
      <c r="V92" s="51"/>
      <c r="W92" s="51"/>
      <c r="X92" s="51"/>
      <c r="Y92" s="51"/>
      <c r="Z92" s="51"/>
    </row>
    <row r="93" spans="1:26" ht="14.25" customHeight="1" x14ac:dyDescent="0.3">
      <c r="A93" s="84"/>
      <c r="B93" s="51"/>
      <c r="C93" s="51"/>
      <c r="D93" s="85"/>
      <c r="E93" s="51"/>
      <c r="F93" s="51"/>
      <c r="G93" s="51"/>
      <c r="H93" s="51"/>
      <c r="I93" s="51"/>
      <c r="J93" s="51"/>
      <c r="K93" s="51"/>
      <c r="L93" s="51"/>
      <c r="M93" s="51"/>
      <c r="N93" s="51"/>
      <c r="O93" s="51"/>
      <c r="P93" s="51"/>
      <c r="Q93" s="51"/>
      <c r="R93" s="51"/>
      <c r="S93" s="51"/>
      <c r="T93" s="51"/>
      <c r="U93" s="51"/>
      <c r="V93" s="51"/>
      <c r="W93" s="51"/>
      <c r="X93" s="51"/>
      <c r="Y93" s="51"/>
      <c r="Z93" s="51"/>
    </row>
    <row r="94" spans="1:26" ht="14.25" customHeight="1" x14ac:dyDescent="0.3">
      <c r="A94" s="84"/>
      <c r="B94" s="51"/>
      <c r="C94" s="51"/>
      <c r="D94" s="85"/>
      <c r="E94" s="51"/>
      <c r="F94" s="51"/>
      <c r="G94" s="51"/>
      <c r="H94" s="51"/>
      <c r="I94" s="51"/>
      <c r="J94" s="51"/>
      <c r="K94" s="51"/>
      <c r="L94" s="51"/>
      <c r="M94" s="51"/>
      <c r="N94" s="51"/>
      <c r="O94" s="51"/>
      <c r="P94" s="51"/>
      <c r="Q94" s="51"/>
      <c r="R94" s="51"/>
      <c r="S94" s="51"/>
      <c r="T94" s="51"/>
      <c r="U94" s="51"/>
      <c r="V94" s="51"/>
      <c r="W94" s="51"/>
      <c r="X94" s="51"/>
      <c r="Y94" s="51"/>
      <c r="Z94" s="51"/>
    </row>
    <row r="95" spans="1:26" ht="14.25" customHeight="1" x14ac:dyDescent="0.3">
      <c r="A95" s="84"/>
      <c r="B95" s="51"/>
      <c r="C95" s="51"/>
      <c r="D95" s="85"/>
      <c r="E95" s="51"/>
      <c r="F95" s="51"/>
      <c r="G95" s="51"/>
      <c r="H95" s="51"/>
      <c r="I95" s="51"/>
      <c r="J95" s="51"/>
      <c r="K95" s="51"/>
      <c r="L95" s="51"/>
      <c r="M95" s="51"/>
      <c r="N95" s="51"/>
      <c r="O95" s="51"/>
      <c r="P95" s="51"/>
      <c r="Q95" s="51"/>
      <c r="R95" s="51"/>
      <c r="S95" s="51"/>
      <c r="T95" s="51"/>
      <c r="U95" s="51"/>
      <c r="V95" s="51"/>
      <c r="W95" s="51"/>
      <c r="X95" s="51"/>
      <c r="Y95" s="51"/>
      <c r="Z95" s="51"/>
    </row>
    <row r="96" spans="1:26" ht="14.25" customHeight="1" x14ac:dyDescent="0.3">
      <c r="A96" s="84"/>
      <c r="B96" s="51"/>
      <c r="C96" s="51"/>
      <c r="D96" s="85"/>
      <c r="E96" s="51"/>
      <c r="F96" s="51"/>
      <c r="G96" s="51"/>
      <c r="H96" s="51"/>
      <c r="I96" s="51"/>
      <c r="J96" s="51"/>
      <c r="K96" s="51"/>
      <c r="L96" s="51"/>
      <c r="M96" s="51"/>
      <c r="N96" s="51"/>
      <c r="O96" s="51"/>
      <c r="P96" s="51"/>
      <c r="Q96" s="51"/>
      <c r="R96" s="51"/>
      <c r="S96" s="51"/>
      <c r="T96" s="51"/>
      <c r="U96" s="51"/>
      <c r="V96" s="51"/>
      <c r="W96" s="51"/>
      <c r="X96" s="51"/>
      <c r="Y96" s="51"/>
      <c r="Z96" s="51"/>
    </row>
    <row r="97" spans="1:26" ht="14.25" customHeight="1" x14ac:dyDescent="0.3">
      <c r="A97" s="84"/>
      <c r="B97" s="51"/>
      <c r="C97" s="51"/>
      <c r="D97" s="85"/>
      <c r="E97" s="51"/>
      <c r="F97" s="51"/>
      <c r="G97" s="51"/>
      <c r="H97" s="51"/>
      <c r="I97" s="51"/>
      <c r="J97" s="51"/>
      <c r="K97" s="51"/>
      <c r="L97" s="51"/>
      <c r="M97" s="51"/>
      <c r="N97" s="51"/>
      <c r="O97" s="51"/>
      <c r="P97" s="51"/>
      <c r="Q97" s="51"/>
      <c r="R97" s="51"/>
      <c r="S97" s="51"/>
      <c r="T97" s="51"/>
      <c r="U97" s="51"/>
      <c r="V97" s="51"/>
      <c r="W97" s="51"/>
      <c r="X97" s="51"/>
      <c r="Y97" s="51"/>
      <c r="Z97" s="51"/>
    </row>
    <row r="98" spans="1:26" ht="14.25" customHeight="1" x14ac:dyDescent="0.3">
      <c r="A98" s="84"/>
      <c r="B98" s="51"/>
      <c r="C98" s="51"/>
      <c r="D98" s="85"/>
      <c r="E98" s="51"/>
      <c r="F98" s="51"/>
      <c r="G98" s="51"/>
      <c r="H98" s="51"/>
      <c r="I98" s="51"/>
      <c r="J98" s="51"/>
      <c r="K98" s="51"/>
      <c r="L98" s="51"/>
      <c r="M98" s="51"/>
      <c r="N98" s="51"/>
      <c r="O98" s="51"/>
      <c r="P98" s="51"/>
      <c r="Q98" s="51"/>
      <c r="R98" s="51"/>
      <c r="S98" s="51"/>
      <c r="T98" s="51"/>
      <c r="U98" s="51"/>
      <c r="V98" s="51"/>
      <c r="W98" s="51"/>
      <c r="X98" s="51"/>
      <c r="Y98" s="51"/>
      <c r="Z98" s="51"/>
    </row>
    <row r="99" spans="1:26" ht="14.25" customHeight="1" x14ac:dyDescent="0.3">
      <c r="A99" s="84"/>
      <c r="B99" s="51"/>
      <c r="C99" s="51"/>
      <c r="D99" s="85"/>
      <c r="E99" s="51"/>
      <c r="F99" s="51"/>
      <c r="G99" s="51"/>
      <c r="H99" s="51"/>
      <c r="I99" s="51"/>
      <c r="J99" s="51"/>
      <c r="K99" s="51"/>
      <c r="L99" s="51"/>
      <c r="M99" s="51"/>
      <c r="N99" s="51"/>
      <c r="O99" s="51"/>
      <c r="P99" s="51"/>
      <c r="Q99" s="51"/>
      <c r="R99" s="51"/>
      <c r="S99" s="51"/>
      <c r="T99" s="51"/>
      <c r="U99" s="51"/>
      <c r="V99" s="51"/>
      <c r="W99" s="51"/>
      <c r="X99" s="51"/>
      <c r="Y99" s="51"/>
      <c r="Z99" s="51"/>
    </row>
    <row r="100" spans="1:26" ht="14.25" customHeight="1" x14ac:dyDescent="0.3">
      <c r="A100" s="84"/>
      <c r="B100" s="51"/>
      <c r="C100" s="51"/>
      <c r="D100" s="85"/>
      <c r="E100" s="51"/>
      <c r="F100" s="51"/>
      <c r="G100" s="51"/>
      <c r="H100" s="51"/>
      <c r="I100" s="51"/>
      <c r="J100" s="51"/>
      <c r="K100" s="51"/>
      <c r="L100" s="51"/>
      <c r="M100" s="51"/>
      <c r="N100" s="51"/>
      <c r="O100" s="51"/>
      <c r="P100" s="51"/>
      <c r="Q100" s="51"/>
      <c r="R100" s="51"/>
      <c r="S100" s="51"/>
      <c r="T100" s="51"/>
      <c r="U100" s="51"/>
      <c r="V100" s="51"/>
      <c r="W100" s="51"/>
      <c r="X100" s="51"/>
      <c r="Y100" s="51"/>
      <c r="Z100" s="51"/>
    </row>
    <row r="101" spans="1:26" ht="14.25" customHeight="1" x14ac:dyDescent="0.3">
      <c r="A101" s="84"/>
      <c r="B101" s="51"/>
      <c r="C101" s="51"/>
      <c r="D101" s="85"/>
      <c r="E101" s="51"/>
      <c r="F101" s="51"/>
      <c r="G101" s="51"/>
      <c r="H101" s="51"/>
      <c r="I101" s="51"/>
      <c r="J101" s="51"/>
      <c r="K101" s="51"/>
      <c r="L101" s="51"/>
      <c r="M101" s="51"/>
      <c r="N101" s="51"/>
      <c r="O101" s="51"/>
      <c r="P101" s="51"/>
      <c r="Q101" s="51"/>
      <c r="R101" s="51"/>
      <c r="S101" s="51"/>
      <c r="T101" s="51"/>
      <c r="U101" s="51"/>
      <c r="V101" s="51"/>
      <c r="W101" s="51"/>
      <c r="X101" s="51"/>
      <c r="Y101" s="51"/>
      <c r="Z101" s="51"/>
    </row>
    <row r="102" spans="1:26" ht="14.25" customHeight="1" x14ac:dyDescent="0.3">
      <c r="A102" s="84"/>
      <c r="B102" s="51"/>
      <c r="C102" s="51"/>
      <c r="D102" s="85"/>
      <c r="E102" s="51"/>
      <c r="F102" s="51"/>
      <c r="G102" s="51"/>
      <c r="H102" s="51"/>
      <c r="I102" s="51"/>
      <c r="J102" s="51"/>
      <c r="K102" s="51"/>
      <c r="L102" s="51"/>
      <c r="M102" s="51"/>
      <c r="N102" s="51"/>
      <c r="O102" s="51"/>
      <c r="P102" s="51"/>
      <c r="Q102" s="51"/>
      <c r="R102" s="51"/>
      <c r="S102" s="51"/>
      <c r="T102" s="51"/>
      <c r="U102" s="51"/>
      <c r="V102" s="51"/>
      <c r="W102" s="51"/>
      <c r="X102" s="51"/>
      <c r="Y102" s="51"/>
      <c r="Z102" s="51"/>
    </row>
    <row r="103" spans="1:26" ht="14.25" customHeight="1" x14ac:dyDescent="0.3">
      <c r="A103" s="84"/>
      <c r="B103" s="51"/>
      <c r="C103" s="51"/>
      <c r="D103" s="85"/>
      <c r="E103" s="51"/>
      <c r="F103" s="51"/>
      <c r="G103" s="51"/>
      <c r="H103" s="51"/>
      <c r="I103" s="51"/>
      <c r="J103" s="51"/>
      <c r="K103" s="51"/>
      <c r="L103" s="51"/>
      <c r="M103" s="51"/>
      <c r="N103" s="51"/>
      <c r="O103" s="51"/>
      <c r="P103" s="51"/>
      <c r="Q103" s="51"/>
      <c r="R103" s="51"/>
      <c r="S103" s="51"/>
      <c r="T103" s="51"/>
      <c r="U103" s="51"/>
      <c r="V103" s="51"/>
      <c r="W103" s="51"/>
      <c r="X103" s="51"/>
      <c r="Y103" s="51"/>
      <c r="Z103" s="51"/>
    </row>
    <row r="104" spans="1:26" ht="14.25" customHeight="1" x14ac:dyDescent="0.3">
      <c r="A104" s="84"/>
      <c r="B104" s="51"/>
      <c r="C104" s="51"/>
      <c r="D104" s="85"/>
      <c r="E104" s="51"/>
      <c r="F104" s="51"/>
      <c r="G104" s="51"/>
      <c r="H104" s="51"/>
      <c r="I104" s="51"/>
      <c r="J104" s="51"/>
      <c r="K104" s="51"/>
      <c r="L104" s="51"/>
      <c r="M104" s="51"/>
      <c r="N104" s="51"/>
      <c r="O104" s="51"/>
      <c r="P104" s="51"/>
      <c r="Q104" s="51"/>
      <c r="R104" s="51"/>
      <c r="S104" s="51"/>
      <c r="T104" s="51"/>
      <c r="U104" s="51"/>
      <c r="V104" s="51"/>
      <c r="W104" s="51"/>
      <c r="X104" s="51"/>
      <c r="Y104" s="51"/>
      <c r="Z104" s="51"/>
    </row>
    <row r="105" spans="1:26" ht="14.25" customHeight="1" x14ac:dyDescent="0.3">
      <c r="A105" s="84"/>
      <c r="B105" s="51"/>
      <c r="C105" s="51"/>
      <c r="D105" s="85"/>
      <c r="E105" s="51"/>
      <c r="F105" s="51"/>
      <c r="G105" s="51"/>
      <c r="H105" s="51"/>
      <c r="I105" s="51"/>
      <c r="J105" s="51"/>
      <c r="K105" s="51"/>
      <c r="L105" s="51"/>
      <c r="M105" s="51"/>
      <c r="N105" s="51"/>
      <c r="O105" s="51"/>
      <c r="P105" s="51"/>
      <c r="Q105" s="51"/>
      <c r="R105" s="51"/>
      <c r="S105" s="51"/>
      <c r="T105" s="51"/>
      <c r="U105" s="51"/>
      <c r="V105" s="51"/>
      <c r="W105" s="51"/>
      <c r="X105" s="51"/>
      <c r="Y105" s="51"/>
      <c r="Z105" s="51"/>
    </row>
    <row r="106" spans="1:26" ht="14.25" customHeight="1" x14ac:dyDescent="0.3">
      <c r="A106" s="84"/>
      <c r="B106" s="51"/>
      <c r="C106" s="51"/>
      <c r="D106" s="85"/>
      <c r="E106" s="51"/>
      <c r="F106" s="51"/>
      <c r="G106" s="51"/>
      <c r="H106" s="51"/>
      <c r="I106" s="51"/>
      <c r="J106" s="51"/>
      <c r="K106" s="51"/>
      <c r="L106" s="51"/>
      <c r="M106" s="51"/>
      <c r="N106" s="51"/>
      <c r="O106" s="51"/>
      <c r="P106" s="51"/>
      <c r="Q106" s="51"/>
      <c r="R106" s="51"/>
      <c r="S106" s="51"/>
      <c r="T106" s="51"/>
      <c r="U106" s="51"/>
      <c r="V106" s="51"/>
      <c r="W106" s="51"/>
      <c r="X106" s="51"/>
      <c r="Y106" s="51"/>
      <c r="Z106" s="51"/>
    </row>
    <row r="107" spans="1:26" ht="14.25" customHeight="1" x14ac:dyDescent="0.3">
      <c r="A107" s="84"/>
      <c r="B107" s="51"/>
      <c r="C107" s="51"/>
      <c r="D107" s="85"/>
      <c r="E107" s="51"/>
      <c r="F107" s="51"/>
      <c r="G107" s="51"/>
      <c r="H107" s="51"/>
      <c r="I107" s="51"/>
      <c r="J107" s="51"/>
      <c r="K107" s="51"/>
      <c r="L107" s="51"/>
      <c r="M107" s="51"/>
      <c r="N107" s="51"/>
      <c r="O107" s="51"/>
      <c r="P107" s="51"/>
      <c r="Q107" s="51"/>
      <c r="R107" s="51"/>
      <c r="S107" s="51"/>
      <c r="T107" s="51"/>
      <c r="U107" s="51"/>
      <c r="V107" s="51"/>
      <c r="W107" s="51"/>
      <c r="X107" s="51"/>
      <c r="Y107" s="51"/>
      <c r="Z107" s="51"/>
    </row>
    <row r="108" spans="1:26" ht="14.25" customHeight="1" x14ac:dyDescent="0.3">
      <c r="A108" s="84"/>
      <c r="B108" s="51"/>
      <c r="C108" s="51"/>
      <c r="D108" s="85"/>
      <c r="E108" s="51"/>
      <c r="F108" s="51"/>
      <c r="G108" s="51"/>
      <c r="H108" s="51"/>
      <c r="I108" s="51"/>
      <c r="J108" s="51"/>
      <c r="K108" s="51"/>
      <c r="L108" s="51"/>
      <c r="M108" s="51"/>
      <c r="N108" s="51"/>
      <c r="O108" s="51"/>
      <c r="P108" s="51"/>
      <c r="Q108" s="51"/>
      <c r="R108" s="51"/>
      <c r="S108" s="51"/>
      <c r="T108" s="51"/>
      <c r="U108" s="51"/>
      <c r="V108" s="51"/>
      <c r="W108" s="51"/>
      <c r="X108" s="51"/>
      <c r="Y108" s="51"/>
      <c r="Z108" s="51"/>
    </row>
    <row r="109" spans="1:26" ht="14.25" customHeight="1" x14ac:dyDescent="0.3">
      <c r="A109" s="84"/>
      <c r="B109" s="51"/>
      <c r="C109" s="51"/>
      <c r="D109" s="85"/>
      <c r="E109" s="51"/>
      <c r="F109" s="51"/>
      <c r="G109" s="51"/>
      <c r="H109" s="51"/>
      <c r="I109" s="51"/>
      <c r="J109" s="51"/>
      <c r="K109" s="51"/>
      <c r="L109" s="51"/>
      <c r="M109" s="51"/>
      <c r="N109" s="51"/>
      <c r="O109" s="51"/>
      <c r="P109" s="51"/>
      <c r="Q109" s="51"/>
      <c r="R109" s="51"/>
      <c r="S109" s="51"/>
      <c r="T109" s="51"/>
      <c r="U109" s="51"/>
      <c r="V109" s="51"/>
      <c r="W109" s="51"/>
      <c r="X109" s="51"/>
      <c r="Y109" s="51"/>
      <c r="Z109" s="51"/>
    </row>
    <row r="110" spans="1:26" ht="14.25" customHeight="1" x14ac:dyDescent="0.3">
      <c r="A110" s="84"/>
      <c r="B110" s="51"/>
      <c r="C110" s="51"/>
      <c r="D110" s="85"/>
      <c r="E110" s="51"/>
      <c r="F110" s="51"/>
      <c r="G110" s="51"/>
      <c r="H110" s="51"/>
      <c r="I110" s="51"/>
      <c r="J110" s="51"/>
      <c r="K110" s="51"/>
      <c r="L110" s="51"/>
      <c r="M110" s="51"/>
      <c r="N110" s="51"/>
      <c r="O110" s="51"/>
      <c r="P110" s="51"/>
      <c r="Q110" s="51"/>
      <c r="R110" s="51"/>
      <c r="S110" s="51"/>
      <c r="T110" s="51"/>
      <c r="U110" s="51"/>
      <c r="V110" s="51"/>
      <c r="W110" s="51"/>
      <c r="X110" s="51"/>
      <c r="Y110" s="51"/>
      <c r="Z110" s="51"/>
    </row>
    <row r="111" spans="1:26" ht="14.25" customHeight="1" x14ac:dyDescent="0.3">
      <c r="A111" s="84"/>
      <c r="B111" s="51"/>
      <c r="C111" s="51"/>
      <c r="D111" s="85"/>
      <c r="E111" s="51"/>
      <c r="F111" s="51"/>
      <c r="G111" s="51"/>
      <c r="H111" s="51"/>
      <c r="I111" s="51"/>
      <c r="J111" s="51"/>
      <c r="K111" s="51"/>
      <c r="L111" s="51"/>
      <c r="M111" s="51"/>
      <c r="N111" s="51"/>
      <c r="O111" s="51"/>
      <c r="P111" s="51"/>
      <c r="Q111" s="51"/>
      <c r="R111" s="51"/>
      <c r="S111" s="51"/>
      <c r="T111" s="51"/>
      <c r="U111" s="51"/>
      <c r="V111" s="51"/>
      <c r="W111" s="51"/>
      <c r="X111" s="51"/>
      <c r="Y111" s="51"/>
      <c r="Z111" s="51"/>
    </row>
    <row r="112" spans="1:26" ht="14.25" customHeight="1" x14ac:dyDescent="0.3">
      <c r="A112" s="84"/>
      <c r="B112" s="51"/>
      <c r="C112" s="51"/>
      <c r="D112" s="85"/>
      <c r="E112" s="51"/>
      <c r="F112" s="51"/>
      <c r="G112" s="51"/>
      <c r="H112" s="51"/>
      <c r="I112" s="51"/>
      <c r="J112" s="51"/>
      <c r="K112" s="51"/>
      <c r="L112" s="51"/>
      <c r="M112" s="51"/>
      <c r="N112" s="51"/>
      <c r="O112" s="51"/>
      <c r="P112" s="51"/>
      <c r="Q112" s="51"/>
      <c r="R112" s="51"/>
      <c r="S112" s="51"/>
      <c r="T112" s="51"/>
      <c r="U112" s="51"/>
      <c r="V112" s="51"/>
      <c r="W112" s="51"/>
      <c r="X112" s="51"/>
      <c r="Y112" s="51"/>
      <c r="Z112" s="51"/>
    </row>
    <row r="113" spans="1:26" ht="14.25" customHeight="1" x14ac:dyDescent="0.3">
      <c r="A113" s="84"/>
      <c r="B113" s="51"/>
      <c r="C113" s="51"/>
      <c r="D113" s="85"/>
      <c r="E113" s="51"/>
      <c r="F113" s="51"/>
      <c r="G113" s="51"/>
      <c r="H113" s="51"/>
      <c r="I113" s="51"/>
      <c r="J113" s="51"/>
      <c r="K113" s="51"/>
      <c r="L113" s="51"/>
      <c r="M113" s="51"/>
      <c r="N113" s="51"/>
      <c r="O113" s="51"/>
      <c r="P113" s="51"/>
      <c r="Q113" s="51"/>
      <c r="R113" s="51"/>
      <c r="S113" s="51"/>
      <c r="T113" s="51"/>
      <c r="U113" s="51"/>
      <c r="V113" s="51"/>
      <c r="W113" s="51"/>
      <c r="X113" s="51"/>
      <c r="Y113" s="51"/>
      <c r="Z113" s="51"/>
    </row>
    <row r="114" spans="1:26" ht="14.25" customHeight="1" x14ac:dyDescent="0.3">
      <c r="A114" s="84"/>
      <c r="B114" s="51"/>
      <c r="C114" s="51"/>
      <c r="D114" s="85"/>
      <c r="E114" s="51"/>
      <c r="F114" s="51"/>
      <c r="G114" s="51"/>
      <c r="H114" s="51"/>
      <c r="I114" s="51"/>
      <c r="J114" s="51"/>
      <c r="K114" s="51"/>
      <c r="L114" s="51"/>
      <c r="M114" s="51"/>
      <c r="N114" s="51"/>
      <c r="O114" s="51"/>
      <c r="P114" s="51"/>
      <c r="Q114" s="51"/>
      <c r="R114" s="51"/>
      <c r="S114" s="51"/>
      <c r="T114" s="51"/>
      <c r="U114" s="51"/>
      <c r="V114" s="51"/>
      <c r="W114" s="51"/>
      <c r="X114" s="51"/>
      <c r="Y114" s="51"/>
      <c r="Z114" s="51"/>
    </row>
    <row r="115" spans="1:26" ht="14.25" customHeight="1" x14ac:dyDescent="0.3">
      <c r="A115" s="84"/>
      <c r="B115" s="51"/>
      <c r="C115" s="51"/>
      <c r="D115" s="85"/>
      <c r="E115" s="51"/>
      <c r="F115" s="51"/>
      <c r="G115" s="51"/>
      <c r="H115" s="51"/>
      <c r="I115" s="51"/>
      <c r="J115" s="51"/>
      <c r="K115" s="51"/>
      <c r="L115" s="51"/>
      <c r="M115" s="51"/>
      <c r="N115" s="51"/>
      <c r="O115" s="51"/>
      <c r="P115" s="51"/>
      <c r="Q115" s="51"/>
      <c r="R115" s="51"/>
      <c r="S115" s="51"/>
      <c r="T115" s="51"/>
      <c r="U115" s="51"/>
      <c r="V115" s="51"/>
      <c r="W115" s="51"/>
      <c r="X115" s="51"/>
      <c r="Y115" s="51"/>
      <c r="Z115" s="51"/>
    </row>
    <row r="116" spans="1:26" ht="14.25" customHeight="1" x14ac:dyDescent="0.3">
      <c r="A116" s="84"/>
      <c r="B116" s="51"/>
      <c r="C116" s="51"/>
      <c r="D116" s="85"/>
      <c r="E116" s="51"/>
      <c r="F116" s="51"/>
      <c r="G116" s="51"/>
      <c r="H116" s="51"/>
      <c r="I116" s="51"/>
      <c r="J116" s="51"/>
      <c r="K116" s="51"/>
      <c r="L116" s="51"/>
      <c r="M116" s="51"/>
      <c r="N116" s="51"/>
      <c r="O116" s="51"/>
      <c r="P116" s="51"/>
      <c r="Q116" s="51"/>
      <c r="R116" s="51"/>
      <c r="S116" s="51"/>
      <c r="T116" s="51"/>
      <c r="U116" s="51"/>
      <c r="V116" s="51"/>
      <c r="W116" s="51"/>
      <c r="X116" s="51"/>
      <c r="Y116" s="51"/>
      <c r="Z116" s="51"/>
    </row>
    <row r="117" spans="1:26" ht="14.25" customHeight="1" x14ac:dyDescent="0.3">
      <c r="A117" s="84"/>
      <c r="B117" s="51"/>
      <c r="C117" s="51"/>
      <c r="D117" s="85"/>
      <c r="E117" s="51"/>
      <c r="F117" s="51"/>
      <c r="G117" s="51"/>
      <c r="H117" s="51"/>
      <c r="I117" s="51"/>
      <c r="J117" s="51"/>
      <c r="K117" s="51"/>
      <c r="L117" s="51"/>
      <c r="M117" s="51"/>
      <c r="N117" s="51"/>
      <c r="O117" s="51"/>
      <c r="P117" s="51"/>
      <c r="Q117" s="51"/>
      <c r="R117" s="51"/>
      <c r="S117" s="51"/>
      <c r="T117" s="51"/>
      <c r="U117" s="51"/>
      <c r="V117" s="51"/>
      <c r="W117" s="51"/>
      <c r="X117" s="51"/>
      <c r="Y117" s="51"/>
      <c r="Z117" s="51"/>
    </row>
    <row r="118" spans="1:26" ht="14.25" customHeight="1" x14ac:dyDescent="0.3">
      <c r="A118" s="84"/>
      <c r="B118" s="51"/>
      <c r="C118" s="51"/>
      <c r="D118" s="85"/>
      <c r="E118" s="51"/>
      <c r="F118" s="51"/>
      <c r="G118" s="51"/>
      <c r="H118" s="51"/>
      <c r="I118" s="51"/>
      <c r="J118" s="51"/>
      <c r="K118" s="51"/>
      <c r="L118" s="51"/>
      <c r="M118" s="51"/>
      <c r="N118" s="51"/>
      <c r="O118" s="51"/>
      <c r="P118" s="51"/>
      <c r="Q118" s="51"/>
      <c r="R118" s="51"/>
      <c r="S118" s="51"/>
      <c r="T118" s="51"/>
      <c r="U118" s="51"/>
      <c r="V118" s="51"/>
      <c r="W118" s="51"/>
      <c r="X118" s="51"/>
      <c r="Y118" s="51"/>
      <c r="Z118" s="51"/>
    </row>
    <row r="119" spans="1:26" ht="14.25" customHeight="1" x14ac:dyDescent="0.3">
      <c r="A119" s="84"/>
      <c r="B119" s="51"/>
      <c r="C119" s="51"/>
      <c r="D119" s="85"/>
      <c r="E119" s="51"/>
      <c r="F119" s="51"/>
      <c r="G119" s="51"/>
      <c r="H119" s="51"/>
      <c r="I119" s="51"/>
      <c r="J119" s="51"/>
      <c r="K119" s="51"/>
      <c r="L119" s="51"/>
      <c r="M119" s="51"/>
      <c r="N119" s="51"/>
      <c r="O119" s="51"/>
      <c r="P119" s="51"/>
      <c r="Q119" s="51"/>
      <c r="R119" s="51"/>
      <c r="S119" s="51"/>
      <c r="T119" s="51"/>
      <c r="U119" s="51"/>
      <c r="V119" s="51"/>
      <c r="W119" s="51"/>
      <c r="X119" s="51"/>
      <c r="Y119" s="51"/>
      <c r="Z119" s="51"/>
    </row>
    <row r="120" spans="1:26" ht="14.25" customHeight="1" x14ac:dyDescent="0.3">
      <c r="A120" s="84"/>
      <c r="B120" s="51"/>
      <c r="C120" s="51"/>
      <c r="D120" s="85"/>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ht="14.25" customHeight="1" x14ac:dyDescent="0.3">
      <c r="A121" s="84"/>
      <c r="B121" s="51"/>
      <c r="C121" s="51"/>
      <c r="D121" s="85"/>
      <c r="E121" s="51"/>
      <c r="F121" s="51"/>
      <c r="G121" s="51"/>
      <c r="H121" s="51"/>
      <c r="I121" s="51"/>
      <c r="J121" s="51"/>
      <c r="K121" s="51"/>
      <c r="L121" s="51"/>
      <c r="M121" s="51"/>
      <c r="N121" s="51"/>
      <c r="O121" s="51"/>
      <c r="P121" s="51"/>
      <c r="Q121" s="51"/>
      <c r="R121" s="51"/>
      <c r="S121" s="51"/>
      <c r="T121" s="51"/>
      <c r="U121" s="51"/>
      <c r="V121" s="51"/>
      <c r="W121" s="51"/>
      <c r="X121" s="51"/>
      <c r="Y121" s="51"/>
      <c r="Z121" s="51"/>
    </row>
    <row r="122" spans="1:26" ht="14.25" customHeight="1" x14ac:dyDescent="0.3">
      <c r="A122" s="84"/>
      <c r="B122" s="51"/>
      <c r="C122" s="51"/>
      <c r="D122" s="85"/>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ht="14.25" customHeight="1" x14ac:dyDescent="0.3">
      <c r="A123" s="84"/>
      <c r="B123" s="51"/>
      <c r="C123" s="51"/>
      <c r="D123" s="85"/>
      <c r="E123" s="51"/>
      <c r="F123" s="51"/>
      <c r="G123" s="51"/>
      <c r="H123" s="51"/>
      <c r="I123" s="51"/>
      <c r="J123" s="51"/>
      <c r="K123" s="51"/>
      <c r="L123" s="51"/>
      <c r="M123" s="51"/>
      <c r="N123" s="51"/>
      <c r="O123" s="51"/>
      <c r="P123" s="51"/>
      <c r="Q123" s="51"/>
      <c r="R123" s="51"/>
      <c r="S123" s="51"/>
      <c r="T123" s="51"/>
      <c r="U123" s="51"/>
      <c r="V123" s="51"/>
      <c r="W123" s="51"/>
      <c r="X123" s="51"/>
      <c r="Y123" s="51"/>
      <c r="Z123" s="51"/>
    </row>
    <row r="124" spans="1:26" ht="14.25" customHeight="1" x14ac:dyDescent="0.3">
      <c r="A124" s="84"/>
      <c r="B124" s="51"/>
      <c r="C124" s="51"/>
      <c r="D124" s="85"/>
      <c r="E124" s="51"/>
      <c r="F124" s="51"/>
      <c r="G124" s="51"/>
      <c r="H124" s="51"/>
      <c r="I124" s="51"/>
      <c r="J124" s="51"/>
      <c r="K124" s="51"/>
      <c r="L124" s="51"/>
      <c r="M124" s="51"/>
      <c r="N124" s="51"/>
      <c r="O124" s="51"/>
      <c r="P124" s="51"/>
      <c r="Q124" s="51"/>
      <c r="R124" s="51"/>
      <c r="S124" s="51"/>
      <c r="T124" s="51"/>
      <c r="U124" s="51"/>
      <c r="V124" s="51"/>
      <c r="W124" s="51"/>
      <c r="X124" s="51"/>
      <c r="Y124" s="51"/>
      <c r="Z124" s="51"/>
    </row>
    <row r="125" spans="1:26" ht="14.25" customHeight="1" x14ac:dyDescent="0.3">
      <c r="A125" s="84"/>
      <c r="B125" s="51"/>
      <c r="C125" s="51"/>
      <c r="D125" s="85"/>
      <c r="E125" s="51"/>
      <c r="F125" s="51"/>
      <c r="G125" s="51"/>
      <c r="H125" s="51"/>
      <c r="I125" s="51"/>
      <c r="J125" s="51"/>
      <c r="K125" s="51"/>
      <c r="L125" s="51"/>
      <c r="M125" s="51"/>
      <c r="N125" s="51"/>
      <c r="O125" s="51"/>
      <c r="P125" s="51"/>
      <c r="Q125" s="51"/>
      <c r="R125" s="51"/>
      <c r="S125" s="51"/>
      <c r="T125" s="51"/>
      <c r="U125" s="51"/>
      <c r="V125" s="51"/>
      <c r="W125" s="51"/>
      <c r="X125" s="51"/>
      <c r="Y125" s="51"/>
      <c r="Z125" s="51"/>
    </row>
    <row r="126" spans="1:26" ht="14.25" customHeight="1" x14ac:dyDescent="0.3">
      <c r="A126" s="84"/>
      <c r="B126" s="51"/>
      <c r="C126" s="51"/>
      <c r="D126" s="85"/>
      <c r="E126" s="51"/>
      <c r="F126" s="51"/>
      <c r="G126" s="51"/>
      <c r="H126" s="51"/>
      <c r="I126" s="51"/>
      <c r="J126" s="51"/>
      <c r="K126" s="51"/>
      <c r="L126" s="51"/>
      <c r="M126" s="51"/>
      <c r="N126" s="51"/>
      <c r="O126" s="51"/>
      <c r="P126" s="51"/>
      <c r="Q126" s="51"/>
      <c r="R126" s="51"/>
      <c r="S126" s="51"/>
      <c r="T126" s="51"/>
      <c r="U126" s="51"/>
      <c r="V126" s="51"/>
      <c r="W126" s="51"/>
      <c r="X126" s="51"/>
      <c r="Y126" s="51"/>
      <c r="Z126" s="51"/>
    </row>
    <row r="127" spans="1:26" ht="14.25" customHeight="1" x14ac:dyDescent="0.3">
      <c r="A127" s="84"/>
      <c r="B127" s="51"/>
      <c r="C127" s="51"/>
      <c r="D127" s="85"/>
      <c r="E127" s="51"/>
      <c r="F127" s="51"/>
      <c r="G127" s="51"/>
      <c r="H127" s="51"/>
      <c r="I127" s="51"/>
      <c r="J127" s="51"/>
      <c r="K127" s="51"/>
      <c r="L127" s="51"/>
      <c r="M127" s="51"/>
      <c r="N127" s="51"/>
      <c r="O127" s="51"/>
      <c r="P127" s="51"/>
      <c r="Q127" s="51"/>
      <c r="R127" s="51"/>
      <c r="S127" s="51"/>
      <c r="T127" s="51"/>
      <c r="U127" s="51"/>
      <c r="V127" s="51"/>
      <c r="W127" s="51"/>
      <c r="X127" s="51"/>
      <c r="Y127" s="51"/>
      <c r="Z127" s="51"/>
    </row>
    <row r="128" spans="1:26" ht="14.25" customHeight="1" x14ac:dyDescent="0.3">
      <c r="A128" s="84"/>
      <c r="B128" s="51"/>
      <c r="C128" s="51"/>
      <c r="D128" s="85"/>
      <c r="E128" s="51"/>
      <c r="F128" s="51"/>
      <c r="G128" s="51"/>
      <c r="H128" s="51"/>
      <c r="I128" s="51"/>
      <c r="J128" s="51"/>
      <c r="K128" s="51"/>
      <c r="L128" s="51"/>
      <c r="M128" s="51"/>
      <c r="N128" s="51"/>
      <c r="O128" s="51"/>
      <c r="P128" s="51"/>
      <c r="Q128" s="51"/>
      <c r="R128" s="51"/>
      <c r="S128" s="51"/>
      <c r="T128" s="51"/>
      <c r="U128" s="51"/>
      <c r="V128" s="51"/>
      <c r="W128" s="51"/>
      <c r="X128" s="51"/>
      <c r="Y128" s="51"/>
      <c r="Z128" s="51"/>
    </row>
    <row r="129" spans="1:26" ht="14.25" customHeight="1" x14ac:dyDescent="0.3">
      <c r="A129" s="84"/>
      <c r="B129" s="51"/>
      <c r="C129" s="51"/>
      <c r="D129" s="85"/>
      <c r="E129" s="51"/>
      <c r="F129" s="51"/>
      <c r="G129" s="51"/>
      <c r="H129" s="51"/>
      <c r="I129" s="51"/>
      <c r="J129" s="51"/>
      <c r="K129" s="51"/>
      <c r="L129" s="51"/>
      <c r="M129" s="51"/>
      <c r="N129" s="51"/>
      <c r="O129" s="51"/>
      <c r="P129" s="51"/>
      <c r="Q129" s="51"/>
      <c r="R129" s="51"/>
      <c r="S129" s="51"/>
      <c r="T129" s="51"/>
      <c r="U129" s="51"/>
      <c r="V129" s="51"/>
      <c r="W129" s="51"/>
      <c r="X129" s="51"/>
      <c r="Y129" s="51"/>
      <c r="Z129" s="51"/>
    </row>
    <row r="130" spans="1:26" ht="14.25" customHeight="1" x14ac:dyDescent="0.3">
      <c r="A130" s="84"/>
      <c r="B130" s="51"/>
      <c r="C130" s="51"/>
      <c r="D130" s="85"/>
      <c r="E130" s="51"/>
      <c r="F130" s="51"/>
      <c r="G130" s="51"/>
      <c r="H130" s="51"/>
      <c r="I130" s="51"/>
      <c r="J130" s="51"/>
      <c r="K130" s="51"/>
      <c r="L130" s="51"/>
      <c r="M130" s="51"/>
      <c r="N130" s="51"/>
      <c r="O130" s="51"/>
      <c r="P130" s="51"/>
      <c r="Q130" s="51"/>
      <c r="R130" s="51"/>
      <c r="S130" s="51"/>
      <c r="T130" s="51"/>
      <c r="U130" s="51"/>
      <c r="V130" s="51"/>
      <c r="W130" s="51"/>
      <c r="X130" s="51"/>
      <c r="Y130" s="51"/>
      <c r="Z130" s="51"/>
    </row>
    <row r="131" spans="1:26" ht="14.25" customHeight="1" x14ac:dyDescent="0.3">
      <c r="A131" s="84"/>
      <c r="B131" s="51"/>
      <c r="C131" s="51"/>
      <c r="D131" s="85"/>
      <c r="E131" s="51"/>
      <c r="F131" s="51"/>
      <c r="G131" s="51"/>
      <c r="H131" s="51"/>
      <c r="I131" s="51"/>
      <c r="J131" s="51"/>
      <c r="K131" s="51"/>
      <c r="L131" s="51"/>
      <c r="M131" s="51"/>
      <c r="N131" s="51"/>
      <c r="O131" s="51"/>
      <c r="P131" s="51"/>
      <c r="Q131" s="51"/>
      <c r="R131" s="51"/>
      <c r="S131" s="51"/>
      <c r="T131" s="51"/>
      <c r="U131" s="51"/>
      <c r="V131" s="51"/>
      <c r="W131" s="51"/>
      <c r="X131" s="51"/>
      <c r="Y131" s="51"/>
      <c r="Z131" s="51"/>
    </row>
    <row r="132" spans="1:26" ht="14.25" customHeight="1" x14ac:dyDescent="0.3">
      <c r="A132" s="84"/>
      <c r="B132" s="51"/>
      <c r="C132" s="51"/>
      <c r="D132" s="85"/>
      <c r="E132" s="51"/>
      <c r="F132" s="51"/>
      <c r="G132" s="51"/>
      <c r="H132" s="51"/>
      <c r="I132" s="51"/>
      <c r="J132" s="51"/>
      <c r="K132" s="51"/>
      <c r="L132" s="51"/>
      <c r="M132" s="51"/>
      <c r="N132" s="51"/>
      <c r="O132" s="51"/>
      <c r="P132" s="51"/>
      <c r="Q132" s="51"/>
      <c r="R132" s="51"/>
      <c r="S132" s="51"/>
      <c r="T132" s="51"/>
      <c r="U132" s="51"/>
      <c r="V132" s="51"/>
      <c r="W132" s="51"/>
      <c r="X132" s="51"/>
      <c r="Y132" s="51"/>
      <c r="Z132" s="51"/>
    </row>
    <row r="133" spans="1:26" ht="14.25" customHeight="1" x14ac:dyDescent="0.3">
      <c r="A133" s="84"/>
      <c r="B133" s="51"/>
      <c r="C133" s="51"/>
      <c r="D133" s="85"/>
      <c r="E133" s="51"/>
      <c r="F133" s="51"/>
      <c r="G133" s="51"/>
      <c r="H133" s="51"/>
      <c r="I133" s="51"/>
      <c r="J133" s="51"/>
      <c r="K133" s="51"/>
      <c r="L133" s="51"/>
      <c r="M133" s="51"/>
      <c r="N133" s="51"/>
      <c r="O133" s="51"/>
      <c r="P133" s="51"/>
      <c r="Q133" s="51"/>
      <c r="R133" s="51"/>
      <c r="S133" s="51"/>
      <c r="T133" s="51"/>
      <c r="U133" s="51"/>
      <c r="V133" s="51"/>
      <c r="W133" s="51"/>
      <c r="X133" s="51"/>
      <c r="Y133" s="51"/>
      <c r="Z133" s="51"/>
    </row>
    <row r="134" spans="1:26" ht="14.25" customHeight="1" x14ac:dyDescent="0.3">
      <c r="A134" s="84"/>
      <c r="B134" s="51"/>
      <c r="C134" s="51"/>
      <c r="D134" s="85"/>
      <c r="E134" s="51"/>
      <c r="F134" s="51"/>
      <c r="G134" s="51"/>
      <c r="H134" s="51"/>
      <c r="I134" s="51"/>
      <c r="J134" s="51"/>
      <c r="K134" s="51"/>
      <c r="L134" s="51"/>
      <c r="M134" s="51"/>
      <c r="N134" s="51"/>
      <c r="O134" s="51"/>
      <c r="P134" s="51"/>
      <c r="Q134" s="51"/>
      <c r="R134" s="51"/>
      <c r="S134" s="51"/>
      <c r="T134" s="51"/>
      <c r="U134" s="51"/>
      <c r="V134" s="51"/>
      <c r="W134" s="51"/>
      <c r="X134" s="51"/>
      <c r="Y134" s="51"/>
      <c r="Z134" s="51"/>
    </row>
    <row r="135" spans="1:26" ht="14.25" customHeight="1" x14ac:dyDescent="0.3">
      <c r="A135" s="84"/>
      <c r="B135" s="51"/>
      <c r="C135" s="51"/>
      <c r="D135" s="85"/>
      <c r="E135" s="51"/>
      <c r="F135" s="51"/>
      <c r="G135" s="51"/>
      <c r="H135" s="51"/>
      <c r="I135" s="51"/>
      <c r="J135" s="51"/>
      <c r="K135" s="51"/>
      <c r="L135" s="51"/>
      <c r="M135" s="51"/>
      <c r="N135" s="51"/>
      <c r="O135" s="51"/>
      <c r="P135" s="51"/>
      <c r="Q135" s="51"/>
      <c r="R135" s="51"/>
      <c r="S135" s="51"/>
      <c r="T135" s="51"/>
      <c r="U135" s="51"/>
      <c r="V135" s="51"/>
      <c r="W135" s="51"/>
      <c r="X135" s="51"/>
      <c r="Y135" s="51"/>
      <c r="Z135" s="51"/>
    </row>
    <row r="136" spans="1:26" ht="14.25" customHeight="1" x14ac:dyDescent="0.3">
      <c r="A136" s="84"/>
      <c r="B136" s="51"/>
      <c r="C136" s="51"/>
      <c r="D136" s="85"/>
      <c r="E136" s="51"/>
      <c r="F136" s="51"/>
      <c r="G136" s="51"/>
      <c r="H136" s="51"/>
      <c r="I136" s="51"/>
      <c r="J136" s="51"/>
      <c r="K136" s="51"/>
      <c r="L136" s="51"/>
      <c r="M136" s="51"/>
      <c r="N136" s="51"/>
      <c r="O136" s="51"/>
      <c r="P136" s="51"/>
      <c r="Q136" s="51"/>
      <c r="R136" s="51"/>
      <c r="S136" s="51"/>
      <c r="T136" s="51"/>
      <c r="U136" s="51"/>
      <c r="V136" s="51"/>
      <c r="W136" s="51"/>
      <c r="X136" s="51"/>
      <c r="Y136" s="51"/>
      <c r="Z136" s="51"/>
    </row>
    <row r="137" spans="1:26" ht="14.25" customHeight="1" x14ac:dyDescent="0.3">
      <c r="A137" s="84"/>
      <c r="B137" s="51"/>
      <c r="C137" s="51"/>
      <c r="D137" s="85"/>
      <c r="E137" s="51"/>
      <c r="F137" s="51"/>
      <c r="G137" s="51"/>
      <c r="H137" s="51"/>
      <c r="I137" s="51"/>
      <c r="J137" s="51"/>
      <c r="K137" s="51"/>
      <c r="L137" s="51"/>
      <c r="M137" s="51"/>
      <c r="N137" s="51"/>
      <c r="O137" s="51"/>
      <c r="P137" s="51"/>
      <c r="Q137" s="51"/>
      <c r="R137" s="51"/>
      <c r="S137" s="51"/>
      <c r="T137" s="51"/>
      <c r="U137" s="51"/>
      <c r="V137" s="51"/>
      <c r="W137" s="51"/>
      <c r="X137" s="51"/>
      <c r="Y137" s="51"/>
      <c r="Z137" s="51"/>
    </row>
    <row r="138" spans="1:26" ht="14.25" customHeight="1" x14ac:dyDescent="0.3">
      <c r="A138" s="84"/>
      <c r="B138" s="51"/>
      <c r="C138" s="51"/>
      <c r="D138" s="85"/>
      <c r="E138" s="51"/>
      <c r="F138" s="51"/>
      <c r="G138" s="51"/>
      <c r="H138" s="51"/>
      <c r="I138" s="51"/>
      <c r="J138" s="51"/>
      <c r="K138" s="51"/>
      <c r="L138" s="51"/>
      <c r="M138" s="51"/>
      <c r="N138" s="51"/>
      <c r="O138" s="51"/>
      <c r="P138" s="51"/>
      <c r="Q138" s="51"/>
      <c r="R138" s="51"/>
      <c r="S138" s="51"/>
      <c r="T138" s="51"/>
      <c r="U138" s="51"/>
      <c r="V138" s="51"/>
      <c r="W138" s="51"/>
      <c r="X138" s="51"/>
      <c r="Y138" s="51"/>
      <c r="Z138" s="51"/>
    </row>
    <row r="139" spans="1:26" ht="14.25" customHeight="1" x14ac:dyDescent="0.3">
      <c r="A139" s="84"/>
      <c r="B139" s="51"/>
      <c r="C139" s="51"/>
      <c r="D139" s="85"/>
      <c r="E139" s="51"/>
      <c r="F139" s="51"/>
      <c r="G139" s="51"/>
      <c r="H139" s="51"/>
      <c r="I139" s="51"/>
      <c r="J139" s="51"/>
      <c r="K139" s="51"/>
      <c r="L139" s="51"/>
      <c r="M139" s="51"/>
      <c r="N139" s="51"/>
      <c r="O139" s="51"/>
      <c r="P139" s="51"/>
      <c r="Q139" s="51"/>
      <c r="R139" s="51"/>
      <c r="S139" s="51"/>
      <c r="T139" s="51"/>
      <c r="U139" s="51"/>
      <c r="V139" s="51"/>
      <c r="W139" s="51"/>
      <c r="X139" s="51"/>
      <c r="Y139" s="51"/>
      <c r="Z139" s="51"/>
    </row>
    <row r="140" spans="1:26" ht="14.25" customHeight="1" x14ac:dyDescent="0.3">
      <c r="A140" s="84"/>
      <c r="B140" s="51"/>
      <c r="C140" s="51"/>
      <c r="D140" s="85"/>
      <c r="E140" s="51"/>
      <c r="F140" s="51"/>
      <c r="G140" s="51"/>
      <c r="H140" s="51"/>
      <c r="I140" s="51"/>
      <c r="J140" s="51"/>
      <c r="K140" s="51"/>
      <c r="L140" s="51"/>
      <c r="M140" s="51"/>
      <c r="N140" s="51"/>
      <c r="O140" s="51"/>
      <c r="P140" s="51"/>
      <c r="Q140" s="51"/>
      <c r="R140" s="51"/>
      <c r="S140" s="51"/>
      <c r="T140" s="51"/>
      <c r="U140" s="51"/>
      <c r="V140" s="51"/>
      <c r="W140" s="51"/>
      <c r="X140" s="51"/>
      <c r="Y140" s="51"/>
      <c r="Z140" s="51"/>
    </row>
    <row r="141" spans="1:26" ht="14.25" customHeight="1" x14ac:dyDescent="0.3">
      <c r="A141" s="84"/>
      <c r="B141" s="51"/>
      <c r="C141" s="51"/>
      <c r="D141" s="85"/>
      <c r="E141" s="51"/>
      <c r="F141" s="51"/>
      <c r="G141" s="51"/>
      <c r="H141" s="51"/>
      <c r="I141" s="51"/>
      <c r="J141" s="51"/>
      <c r="K141" s="51"/>
      <c r="L141" s="51"/>
      <c r="M141" s="51"/>
      <c r="N141" s="51"/>
      <c r="O141" s="51"/>
      <c r="P141" s="51"/>
      <c r="Q141" s="51"/>
      <c r="R141" s="51"/>
      <c r="S141" s="51"/>
      <c r="T141" s="51"/>
      <c r="U141" s="51"/>
      <c r="V141" s="51"/>
      <c r="W141" s="51"/>
      <c r="X141" s="51"/>
      <c r="Y141" s="51"/>
      <c r="Z141" s="51"/>
    </row>
    <row r="142" spans="1:26" ht="14.25" customHeight="1" x14ac:dyDescent="0.3">
      <c r="A142" s="84"/>
      <c r="B142" s="51"/>
      <c r="C142" s="51"/>
      <c r="D142" s="85"/>
      <c r="E142" s="51"/>
      <c r="F142" s="51"/>
      <c r="G142" s="51"/>
      <c r="H142" s="51"/>
      <c r="I142" s="51"/>
      <c r="J142" s="51"/>
      <c r="K142" s="51"/>
      <c r="L142" s="51"/>
      <c r="M142" s="51"/>
      <c r="N142" s="51"/>
      <c r="O142" s="51"/>
      <c r="P142" s="51"/>
      <c r="Q142" s="51"/>
      <c r="R142" s="51"/>
      <c r="S142" s="51"/>
      <c r="T142" s="51"/>
      <c r="U142" s="51"/>
      <c r="V142" s="51"/>
      <c r="W142" s="51"/>
      <c r="X142" s="51"/>
      <c r="Y142" s="51"/>
      <c r="Z142" s="51"/>
    </row>
    <row r="143" spans="1:26" ht="14.25" customHeight="1" x14ac:dyDescent="0.3">
      <c r="A143" s="84"/>
      <c r="B143" s="51"/>
      <c r="C143" s="51"/>
      <c r="D143" s="85"/>
      <c r="E143" s="51"/>
      <c r="F143" s="51"/>
      <c r="G143" s="51"/>
      <c r="H143" s="51"/>
      <c r="I143" s="51"/>
      <c r="J143" s="51"/>
      <c r="K143" s="51"/>
      <c r="L143" s="51"/>
      <c r="M143" s="51"/>
      <c r="N143" s="51"/>
      <c r="O143" s="51"/>
      <c r="P143" s="51"/>
      <c r="Q143" s="51"/>
      <c r="R143" s="51"/>
      <c r="S143" s="51"/>
      <c r="T143" s="51"/>
      <c r="U143" s="51"/>
      <c r="V143" s="51"/>
      <c r="W143" s="51"/>
      <c r="X143" s="51"/>
      <c r="Y143" s="51"/>
      <c r="Z143" s="51"/>
    </row>
    <row r="144" spans="1:26" ht="14.25" customHeight="1" x14ac:dyDescent="0.3">
      <c r="A144" s="84"/>
      <c r="B144" s="51"/>
      <c r="C144" s="51"/>
      <c r="D144" s="85"/>
      <c r="E144" s="51"/>
      <c r="F144" s="51"/>
      <c r="G144" s="51"/>
      <c r="H144" s="51"/>
      <c r="I144" s="51"/>
      <c r="J144" s="51"/>
      <c r="K144" s="51"/>
      <c r="L144" s="51"/>
      <c r="M144" s="51"/>
      <c r="N144" s="51"/>
      <c r="O144" s="51"/>
      <c r="P144" s="51"/>
      <c r="Q144" s="51"/>
      <c r="R144" s="51"/>
      <c r="S144" s="51"/>
      <c r="T144" s="51"/>
      <c r="U144" s="51"/>
      <c r="V144" s="51"/>
      <c r="W144" s="51"/>
      <c r="X144" s="51"/>
      <c r="Y144" s="51"/>
      <c r="Z144" s="51"/>
    </row>
    <row r="145" spans="1:26" ht="14.25" customHeight="1" x14ac:dyDescent="0.3">
      <c r="A145" s="84"/>
      <c r="B145" s="51"/>
      <c r="C145" s="51"/>
      <c r="D145" s="85"/>
      <c r="E145" s="51"/>
      <c r="F145" s="51"/>
      <c r="G145" s="51"/>
      <c r="H145" s="51"/>
      <c r="I145" s="51"/>
      <c r="J145" s="51"/>
      <c r="K145" s="51"/>
      <c r="L145" s="51"/>
      <c r="M145" s="51"/>
      <c r="N145" s="51"/>
      <c r="O145" s="51"/>
      <c r="P145" s="51"/>
      <c r="Q145" s="51"/>
      <c r="R145" s="51"/>
      <c r="S145" s="51"/>
      <c r="T145" s="51"/>
      <c r="U145" s="51"/>
      <c r="V145" s="51"/>
      <c r="W145" s="51"/>
      <c r="X145" s="51"/>
      <c r="Y145" s="51"/>
      <c r="Z145" s="51"/>
    </row>
    <row r="146" spans="1:26" ht="14.25" customHeight="1" x14ac:dyDescent="0.3">
      <c r="A146" s="84"/>
      <c r="B146" s="51"/>
      <c r="C146" s="51"/>
      <c r="D146" s="85"/>
      <c r="E146" s="51"/>
      <c r="F146" s="51"/>
      <c r="G146" s="51"/>
      <c r="H146" s="51"/>
      <c r="I146" s="51"/>
      <c r="J146" s="51"/>
      <c r="K146" s="51"/>
      <c r="L146" s="51"/>
      <c r="M146" s="51"/>
      <c r="N146" s="51"/>
      <c r="O146" s="51"/>
      <c r="P146" s="51"/>
      <c r="Q146" s="51"/>
      <c r="R146" s="51"/>
      <c r="S146" s="51"/>
      <c r="T146" s="51"/>
      <c r="U146" s="51"/>
      <c r="V146" s="51"/>
      <c r="W146" s="51"/>
      <c r="X146" s="51"/>
      <c r="Y146" s="51"/>
      <c r="Z146" s="51"/>
    </row>
    <row r="147" spans="1:26" ht="14.25" customHeight="1" x14ac:dyDescent="0.3">
      <c r="A147" s="84"/>
      <c r="B147" s="51"/>
      <c r="C147" s="51"/>
      <c r="D147" s="85"/>
      <c r="E147" s="51"/>
      <c r="F147" s="51"/>
      <c r="G147" s="51"/>
      <c r="H147" s="51"/>
      <c r="I147" s="51"/>
      <c r="J147" s="51"/>
      <c r="K147" s="51"/>
      <c r="L147" s="51"/>
      <c r="M147" s="51"/>
      <c r="N147" s="51"/>
      <c r="O147" s="51"/>
      <c r="P147" s="51"/>
      <c r="Q147" s="51"/>
      <c r="R147" s="51"/>
      <c r="S147" s="51"/>
      <c r="T147" s="51"/>
      <c r="U147" s="51"/>
      <c r="V147" s="51"/>
      <c r="W147" s="51"/>
      <c r="X147" s="51"/>
      <c r="Y147" s="51"/>
      <c r="Z147" s="51"/>
    </row>
    <row r="148" spans="1:26" ht="14.25" customHeight="1" x14ac:dyDescent="0.3">
      <c r="A148" s="84"/>
      <c r="B148" s="51"/>
      <c r="C148" s="51"/>
      <c r="D148" s="85"/>
      <c r="E148" s="51"/>
      <c r="F148" s="51"/>
      <c r="G148" s="51"/>
      <c r="H148" s="51"/>
      <c r="I148" s="51"/>
      <c r="J148" s="51"/>
      <c r="K148" s="51"/>
      <c r="L148" s="51"/>
      <c r="M148" s="51"/>
      <c r="N148" s="51"/>
      <c r="O148" s="51"/>
      <c r="P148" s="51"/>
      <c r="Q148" s="51"/>
      <c r="R148" s="51"/>
      <c r="S148" s="51"/>
      <c r="T148" s="51"/>
      <c r="U148" s="51"/>
      <c r="V148" s="51"/>
      <c r="W148" s="51"/>
      <c r="X148" s="51"/>
      <c r="Y148" s="51"/>
      <c r="Z148" s="51"/>
    </row>
    <row r="149" spans="1:26" ht="14.25" customHeight="1" x14ac:dyDescent="0.3">
      <c r="A149" s="84"/>
      <c r="B149" s="51"/>
      <c r="C149" s="51"/>
      <c r="D149" s="85"/>
      <c r="E149" s="51"/>
      <c r="F149" s="51"/>
      <c r="G149" s="51"/>
      <c r="H149" s="51"/>
      <c r="I149" s="51"/>
      <c r="J149" s="51"/>
      <c r="K149" s="51"/>
      <c r="L149" s="51"/>
      <c r="M149" s="51"/>
      <c r="N149" s="51"/>
      <c r="O149" s="51"/>
      <c r="P149" s="51"/>
      <c r="Q149" s="51"/>
      <c r="R149" s="51"/>
      <c r="S149" s="51"/>
      <c r="T149" s="51"/>
      <c r="U149" s="51"/>
      <c r="V149" s="51"/>
      <c r="W149" s="51"/>
      <c r="X149" s="51"/>
      <c r="Y149" s="51"/>
      <c r="Z149" s="51"/>
    </row>
    <row r="150" spans="1:26" ht="14.25" customHeight="1" x14ac:dyDescent="0.3">
      <c r="A150" s="84"/>
      <c r="B150" s="51"/>
      <c r="C150" s="51"/>
      <c r="D150" s="85"/>
      <c r="E150" s="51"/>
      <c r="F150" s="51"/>
      <c r="G150" s="51"/>
      <c r="H150" s="51"/>
      <c r="I150" s="51"/>
      <c r="J150" s="51"/>
      <c r="K150" s="51"/>
      <c r="L150" s="51"/>
      <c r="M150" s="51"/>
      <c r="N150" s="51"/>
      <c r="O150" s="51"/>
      <c r="P150" s="51"/>
      <c r="Q150" s="51"/>
      <c r="R150" s="51"/>
      <c r="S150" s="51"/>
      <c r="T150" s="51"/>
      <c r="U150" s="51"/>
      <c r="V150" s="51"/>
      <c r="W150" s="51"/>
      <c r="X150" s="51"/>
      <c r="Y150" s="51"/>
      <c r="Z150" s="51"/>
    </row>
    <row r="151" spans="1:26" ht="14.25" customHeight="1" x14ac:dyDescent="0.3">
      <c r="A151" s="84"/>
      <c r="B151" s="51"/>
      <c r="C151" s="51"/>
      <c r="D151" s="85"/>
      <c r="E151" s="51"/>
      <c r="F151" s="51"/>
      <c r="G151" s="51"/>
      <c r="H151" s="51"/>
      <c r="I151" s="51"/>
      <c r="J151" s="51"/>
      <c r="K151" s="51"/>
      <c r="L151" s="51"/>
      <c r="M151" s="51"/>
      <c r="N151" s="51"/>
      <c r="O151" s="51"/>
      <c r="P151" s="51"/>
      <c r="Q151" s="51"/>
      <c r="R151" s="51"/>
      <c r="S151" s="51"/>
      <c r="T151" s="51"/>
      <c r="U151" s="51"/>
      <c r="V151" s="51"/>
      <c r="W151" s="51"/>
      <c r="X151" s="51"/>
      <c r="Y151" s="51"/>
      <c r="Z151" s="51"/>
    </row>
    <row r="152" spans="1:26" ht="14.25" customHeight="1" x14ac:dyDescent="0.3">
      <c r="A152" s="84"/>
      <c r="B152" s="51"/>
      <c r="C152" s="51"/>
      <c r="D152" s="85"/>
      <c r="E152" s="51"/>
      <c r="F152" s="51"/>
      <c r="G152" s="51"/>
      <c r="H152" s="51"/>
      <c r="I152" s="51"/>
      <c r="J152" s="51"/>
      <c r="K152" s="51"/>
      <c r="L152" s="51"/>
      <c r="M152" s="51"/>
      <c r="N152" s="51"/>
      <c r="O152" s="51"/>
      <c r="P152" s="51"/>
      <c r="Q152" s="51"/>
      <c r="R152" s="51"/>
      <c r="S152" s="51"/>
      <c r="T152" s="51"/>
      <c r="U152" s="51"/>
      <c r="V152" s="51"/>
      <c r="W152" s="51"/>
      <c r="X152" s="51"/>
      <c r="Y152" s="51"/>
      <c r="Z152" s="51"/>
    </row>
    <row r="153" spans="1:26" ht="14.25" customHeight="1" x14ac:dyDescent="0.3">
      <c r="A153" s="84"/>
      <c r="B153" s="51"/>
      <c r="C153" s="51"/>
      <c r="D153" s="85"/>
      <c r="E153" s="51"/>
      <c r="F153" s="51"/>
      <c r="G153" s="51"/>
      <c r="H153" s="51"/>
      <c r="I153" s="51"/>
      <c r="J153" s="51"/>
      <c r="K153" s="51"/>
      <c r="L153" s="51"/>
      <c r="M153" s="51"/>
      <c r="N153" s="51"/>
      <c r="O153" s="51"/>
      <c r="P153" s="51"/>
      <c r="Q153" s="51"/>
      <c r="R153" s="51"/>
      <c r="S153" s="51"/>
      <c r="T153" s="51"/>
      <c r="U153" s="51"/>
      <c r="V153" s="51"/>
      <c r="W153" s="51"/>
      <c r="X153" s="51"/>
      <c r="Y153" s="51"/>
      <c r="Z153" s="51"/>
    </row>
    <row r="154" spans="1:26" ht="14.25" customHeight="1" x14ac:dyDescent="0.3">
      <c r="A154" s="84"/>
      <c r="B154" s="51"/>
      <c r="C154" s="51"/>
      <c r="D154" s="85"/>
      <c r="E154" s="51"/>
      <c r="F154" s="51"/>
      <c r="G154" s="51"/>
      <c r="H154" s="51"/>
      <c r="I154" s="51"/>
      <c r="J154" s="51"/>
      <c r="K154" s="51"/>
      <c r="L154" s="51"/>
      <c r="M154" s="51"/>
      <c r="N154" s="51"/>
      <c r="O154" s="51"/>
      <c r="P154" s="51"/>
      <c r="Q154" s="51"/>
      <c r="R154" s="51"/>
      <c r="S154" s="51"/>
      <c r="T154" s="51"/>
      <c r="U154" s="51"/>
      <c r="V154" s="51"/>
      <c r="W154" s="51"/>
      <c r="X154" s="51"/>
      <c r="Y154" s="51"/>
      <c r="Z154" s="51"/>
    </row>
    <row r="155" spans="1:26" ht="14.25" customHeight="1" x14ac:dyDescent="0.3">
      <c r="A155" s="84"/>
      <c r="B155" s="51"/>
      <c r="C155" s="51"/>
      <c r="D155" s="85"/>
      <c r="E155" s="51"/>
      <c r="F155" s="51"/>
      <c r="G155" s="51"/>
      <c r="H155" s="51"/>
      <c r="I155" s="51"/>
      <c r="J155" s="51"/>
      <c r="K155" s="51"/>
      <c r="L155" s="51"/>
      <c r="M155" s="51"/>
      <c r="N155" s="51"/>
      <c r="O155" s="51"/>
      <c r="P155" s="51"/>
      <c r="Q155" s="51"/>
      <c r="R155" s="51"/>
      <c r="S155" s="51"/>
      <c r="T155" s="51"/>
      <c r="U155" s="51"/>
      <c r="V155" s="51"/>
      <c r="W155" s="51"/>
      <c r="X155" s="51"/>
      <c r="Y155" s="51"/>
      <c r="Z155" s="51"/>
    </row>
    <row r="156" spans="1:26" ht="14.25" customHeight="1" x14ac:dyDescent="0.3">
      <c r="A156" s="84"/>
      <c r="B156" s="51"/>
      <c r="C156" s="51"/>
      <c r="D156" s="85"/>
      <c r="E156" s="51"/>
      <c r="F156" s="51"/>
      <c r="G156" s="51"/>
      <c r="H156" s="51"/>
      <c r="I156" s="51"/>
      <c r="J156" s="51"/>
      <c r="K156" s="51"/>
      <c r="L156" s="51"/>
      <c r="M156" s="51"/>
      <c r="N156" s="51"/>
      <c r="O156" s="51"/>
      <c r="P156" s="51"/>
      <c r="Q156" s="51"/>
      <c r="R156" s="51"/>
      <c r="S156" s="51"/>
      <c r="T156" s="51"/>
      <c r="U156" s="51"/>
      <c r="V156" s="51"/>
      <c r="W156" s="51"/>
      <c r="X156" s="51"/>
      <c r="Y156" s="51"/>
      <c r="Z156" s="51"/>
    </row>
    <row r="157" spans="1:26" ht="14.25" customHeight="1" x14ac:dyDescent="0.3">
      <c r="A157" s="84"/>
      <c r="B157" s="51"/>
      <c r="C157" s="51"/>
      <c r="D157" s="85"/>
      <c r="E157" s="51"/>
      <c r="F157" s="51"/>
      <c r="G157" s="51"/>
      <c r="H157" s="51"/>
      <c r="I157" s="51"/>
      <c r="J157" s="51"/>
      <c r="K157" s="51"/>
      <c r="L157" s="51"/>
      <c r="M157" s="51"/>
      <c r="N157" s="51"/>
      <c r="O157" s="51"/>
      <c r="P157" s="51"/>
      <c r="Q157" s="51"/>
      <c r="R157" s="51"/>
      <c r="S157" s="51"/>
      <c r="T157" s="51"/>
      <c r="U157" s="51"/>
      <c r="V157" s="51"/>
      <c r="W157" s="51"/>
      <c r="X157" s="51"/>
      <c r="Y157" s="51"/>
      <c r="Z157" s="51"/>
    </row>
    <row r="158" spans="1:26" ht="14.25" customHeight="1" x14ac:dyDescent="0.3">
      <c r="A158" s="84"/>
      <c r="B158" s="51"/>
      <c r="C158" s="51"/>
      <c r="D158" s="85"/>
      <c r="E158" s="51"/>
      <c r="F158" s="51"/>
      <c r="G158" s="51"/>
      <c r="H158" s="51"/>
      <c r="I158" s="51"/>
      <c r="J158" s="51"/>
      <c r="K158" s="51"/>
      <c r="L158" s="51"/>
      <c r="M158" s="51"/>
      <c r="N158" s="51"/>
      <c r="O158" s="51"/>
      <c r="P158" s="51"/>
      <c r="Q158" s="51"/>
      <c r="R158" s="51"/>
      <c r="S158" s="51"/>
      <c r="T158" s="51"/>
      <c r="U158" s="51"/>
      <c r="V158" s="51"/>
      <c r="W158" s="51"/>
      <c r="X158" s="51"/>
      <c r="Y158" s="51"/>
      <c r="Z158" s="51"/>
    </row>
    <row r="159" spans="1:26" ht="14.25" customHeight="1" x14ac:dyDescent="0.3">
      <c r="A159" s="84"/>
      <c r="B159" s="51"/>
      <c r="C159" s="51"/>
      <c r="D159" s="85"/>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ht="14.25" customHeight="1" x14ac:dyDescent="0.3">
      <c r="A160" s="84"/>
      <c r="B160" s="51"/>
      <c r="C160" s="51"/>
      <c r="D160" s="85"/>
      <c r="E160" s="51"/>
      <c r="F160" s="51"/>
      <c r="G160" s="51"/>
      <c r="H160" s="51"/>
      <c r="I160" s="51"/>
      <c r="J160" s="51"/>
      <c r="K160" s="51"/>
      <c r="L160" s="51"/>
      <c r="M160" s="51"/>
      <c r="N160" s="51"/>
      <c r="O160" s="51"/>
      <c r="P160" s="51"/>
      <c r="Q160" s="51"/>
      <c r="R160" s="51"/>
      <c r="S160" s="51"/>
      <c r="T160" s="51"/>
      <c r="U160" s="51"/>
      <c r="V160" s="51"/>
      <c r="W160" s="51"/>
      <c r="X160" s="51"/>
      <c r="Y160" s="51"/>
      <c r="Z160" s="51"/>
    </row>
    <row r="161" spans="1:26" ht="14.25" customHeight="1" x14ac:dyDescent="0.3">
      <c r="A161" s="84"/>
      <c r="B161" s="51"/>
      <c r="C161" s="51"/>
      <c r="D161" s="85"/>
      <c r="E161" s="51"/>
      <c r="F161" s="51"/>
      <c r="G161" s="51"/>
      <c r="H161" s="51"/>
      <c r="I161" s="51"/>
      <c r="J161" s="51"/>
      <c r="K161" s="51"/>
      <c r="L161" s="51"/>
      <c r="M161" s="51"/>
      <c r="N161" s="51"/>
      <c r="O161" s="51"/>
      <c r="P161" s="51"/>
      <c r="Q161" s="51"/>
      <c r="R161" s="51"/>
      <c r="S161" s="51"/>
      <c r="T161" s="51"/>
      <c r="U161" s="51"/>
      <c r="V161" s="51"/>
      <c r="W161" s="51"/>
      <c r="X161" s="51"/>
      <c r="Y161" s="51"/>
      <c r="Z161" s="51"/>
    </row>
    <row r="162" spans="1:26" ht="14.25" customHeight="1" x14ac:dyDescent="0.3">
      <c r="A162" s="84"/>
      <c r="B162" s="51"/>
      <c r="C162" s="51"/>
      <c r="D162" s="85"/>
      <c r="E162" s="51"/>
      <c r="F162" s="51"/>
      <c r="G162" s="51"/>
      <c r="H162" s="51"/>
      <c r="I162" s="51"/>
      <c r="J162" s="51"/>
      <c r="K162" s="51"/>
      <c r="L162" s="51"/>
      <c r="M162" s="51"/>
      <c r="N162" s="51"/>
      <c r="O162" s="51"/>
      <c r="P162" s="51"/>
      <c r="Q162" s="51"/>
      <c r="R162" s="51"/>
      <c r="S162" s="51"/>
      <c r="T162" s="51"/>
      <c r="U162" s="51"/>
      <c r="V162" s="51"/>
      <c r="W162" s="51"/>
      <c r="X162" s="51"/>
      <c r="Y162" s="51"/>
      <c r="Z162" s="51"/>
    </row>
    <row r="163" spans="1:26" ht="14.25" customHeight="1" x14ac:dyDescent="0.3">
      <c r="A163" s="84"/>
      <c r="B163" s="51"/>
      <c r="C163" s="51"/>
      <c r="D163" s="85"/>
      <c r="E163" s="51"/>
      <c r="F163" s="51"/>
      <c r="G163" s="51"/>
      <c r="H163" s="51"/>
      <c r="I163" s="51"/>
      <c r="J163" s="51"/>
      <c r="K163" s="51"/>
      <c r="L163" s="51"/>
      <c r="M163" s="51"/>
      <c r="N163" s="51"/>
      <c r="O163" s="51"/>
      <c r="P163" s="51"/>
      <c r="Q163" s="51"/>
      <c r="R163" s="51"/>
      <c r="S163" s="51"/>
      <c r="T163" s="51"/>
      <c r="U163" s="51"/>
      <c r="V163" s="51"/>
      <c r="W163" s="51"/>
      <c r="X163" s="51"/>
      <c r="Y163" s="51"/>
      <c r="Z163" s="51"/>
    </row>
    <row r="164" spans="1:26" ht="14.25" customHeight="1" x14ac:dyDescent="0.3">
      <c r="A164" s="84"/>
      <c r="B164" s="51"/>
      <c r="C164" s="51"/>
      <c r="D164" s="85"/>
      <c r="E164" s="51"/>
      <c r="F164" s="51"/>
      <c r="G164" s="51"/>
      <c r="H164" s="51"/>
      <c r="I164" s="51"/>
      <c r="J164" s="51"/>
      <c r="K164" s="51"/>
      <c r="L164" s="51"/>
      <c r="M164" s="51"/>
      <c r="N164" s="51"/>
      <c r="O164" s="51"/>
      <c r="P164" s="51"/>
      <c r="Q164" s="51"/>
      <c r="R164" s="51"/>
      <c r="S164" s="51"/>
      <c r="T164" s="51"/>
      <c r="U164" s="51"/>
      <c r="V164" s="51"/>
      <c r="W164" s="51"/>
      <c r="X164" s="51"/>
      <c r="Y164" s="51"/>
      <c r="Z164" s="51"/>
    </row>
    <row r="165" spans="1:26" ht="14.25" customHeight="1" x14ac:dyDescent="0.3">
      <c r="A165" s="84"/>
      <c r="B165" s="51"/>
      <c r="C165" s="51"/>
      <c r="D165" s="85"/>
      <c r="E165" s="51"/>
      <c r="F165" s="51"/>
      <c r="G165" s="51"/>
      <c r="H165" s="51"/>
      <c r="I165" s="51"/>
      <c r="J165" s="51"/>
      <c r="K165" s="51"/>
      <c r="L165" s="51"/>
      <c r="M165" s="51"/>
      <c r="N165" s="51"/>
      <c r="O165" s="51"/>
      <c r="P165" s="51"/>
      <c r="Q165" s="51"/>
      <c r="R165" s="51"/>
      <c r="S165" s="51"/>
      <c r="T165" s="51"/>
      <c r="U165" s="51"/>
      <c r="V165" s="51"/>
      <c r="W165" s="51"/>
      <c r="X165" s="51"/>
      <c r="Y165" s="51"/>
      <c r="Z165" s="51"/>
    </row>
    <row r="166" spans="1:26" ht="14.25" customHeight="1" x14ac:dyDescent="0.3">
      <c r="A166" s="84"/>
      <c r="B166" s="51"/>
      <c r="C166" s="51"/>
      <c r="D166" s="85"/>
      <c r="E166" s="51"/>
      <c r="F166" s="51"/>
      <c r="G166" s="51"/>
      <c r="H166" s="51"/>
      <c r="I166" s="51"/>
      <c r="J166" s="51"/>
      <c r="K166" s="51"/>
      <c r="L166" s="51"/>
      <c r="M166" s="51"/>
      <c r="N166" s="51"/>
      <c r="O166" s="51"/>
      <c r="P166" s="51"/>
      <c r="Q166" s="51"/>
      <c r="R166" s="51"/>
      <c r="S166" s="51"/>
      <c r="T166" s="51"/>
      <c r="U166" s="51"/>
      <c r="V166" s="51"/>
      <c r="W166" s="51"/>
      <c r="X166" s="51"/>
      <c r="Y166" s="51"/>
      <c r="Z166" s="51"/>
    </row>
    <row r="167" spans="1:26" ht="14.25" customHeight="1" x14ac:dyDescent="0.3">
      <c r="A167" s="84"/>
      <c r="B167" s="51"/>
      <c r="C167" s="51"/>
      <c r="D167" s="85"/>
      <c r="E167" s="51"/>
      <c r="F167" s="51"/>
      <c r="G167" s="51"/>
      <c r="H167" s="51"/>
      <c r="I167" s="51"/>
      <c r="J167" s="51"/>
      <c r="K167" s="51"/>
      <c r="L167" s="51"/>
      <c r="M167" s="51"/>
      <c r="N167" s="51"/>
      <c r="O167" s="51"/>
      <c r="P167" s="51"/>
      <c r="Q167" s="51"/>
      <c r="R167" s="51"/>
      <c r="S167" s="51"/>
      <c r="T167" s="51"/>
      <c r="U167" s="51"/>
      <c r="V167" s="51"/>
      <c r="W167" s="51"/>
      <c r="X167" s="51"/>
      <c r="Y167" s="51"/>
      <c r="Z167" s="51"/>
    </row>
    <row r="168" spans="1:26" ht="14.25" customHeight="1" x14ac:dyDescent="0.3">
      <c r="A168" s="84"/>
      <c r="B168" s="51"/>
      <c r="C168" s="51"/>
      <c r="D168" s="85"/>
      <c r="E168" s="51"/>
      <c r="F168" s="51"/>
      <c r="G168" s="51"/>
      <c r="H168" s="51"/>
      <c r="I168" s="51"/>
      <c r="J168" s="51"/>
      <c r="K168" s="51"/>
      <c r="L168" s="51"/>
      <c r="M168" s="51"/>
      <c r="N168" s="51"/>
      <c r="O168" s="51"/>
      <c r="P168" s="51"/>
      <c r="Q168" s="51"/>
      <c r="R168" s="51"/>
      <c r="S168" s="51"/>
      <c r="T168" s="51"/>
      <c r="U168" s="51"/>
      <c r="V168" s="51"/>
      <c r="W168" s="51"/>
      <c r="X168" s="51"/>
      <c r="Y168" s="51"/>
      <c r="Z168" s="51"/>
    </row>
    <row r="169" spans="1:26" ht="14.25" customHeight="1" x14ac:dyDescent="0.3">
      <c r="A169" s="84"/>
      <c r="B169" s="51"/>
      <c r="C169" s="51"/>
      <c r="D169" s="85"/>
      <c r="E169" s="51"/>
      <c r="F169" s="51"/>
      <c r="G169" s="51"/>
      <c r="H169" s="51"/>
      <c r="I169" s="51"/>
      <c r="J169" s="51"/>
      <c r="K169" s="51"/>
      <c r="L169" s="51"/>
      <c r="M169" s="51"/>
      <c r="N169" s="51"/>
      <c r="O169" s="51"/>
      <c r="P169" s="51"/>
      <c r="Q169" s="51"/>
      <c r="R169" s="51"/>
      <c r="S169" s="51"/>
      <c r="T169" s="51"/>
      <c r="U169" s="51"/>
      <c r="V169" s="51"/>
      <c r="W169" s="51"/>
      <c r="X169" s="51"/>
      <c r="Y169" s="51"/>
      <c r="Z169" s="51"/>
    </row>
    <row r="170" spans="1:26" ht="14.25" customHeight="1" x14ac:dyDescent="0.3">
      <c r="A170" s="84"/>
      <c r="B170" s="51"/>
      <c r="C170" s="51"/>
      <c r="D170" s="85"/>
      <c r="E170" s="51"/>
      <c r="F170" s="51"/>
      <c r="G170" s="51"/>
      <c r="H170" s="51"/>
      <c r="I170" s="51"/>
      <c r="J170" s="51"/>
      <c r="K170" s="51"/>
      <c r="L170" s="51"/>
      <c r="M170" s="51"/>
      <c r="N170" s="51"/>
      <c r="O170" s="51"/>
      <c r="P170" s="51"/>
      <c r="Q170" s="51"/>
      <c r="R170" s="51"/>
      <c r="S170" s="51"/>
      <c r="T170" s="51"/>
      <c r="U170" s="51"/>
      <c r="V170" s="51"/>
      <c r="W170" s="51"/>
      <c r="X170" s="51"/>
      <c r="Y170" s="51"/>
      <c r="Z170" s="51"/>
    </row>
    <row r="171" spans="1:26" ht="14.25" customHeight="1" x14ac:dyDescent="0.3">
      <c r="A171" s="84"/>
      <c r="B171" s="51"/>
      <c r="C171" s="51"/>
      <c r="D171" s="85"/>
      <c r="E171" s="51"/>
      <c r="F171" s="51"/>
      <c r="G171" s="51"/>
      <c r="H171" s="51"/>
      <c r="I171" s="51"/>
      <c r="J171" s="51"/>
      <c r="K171" s="51"/>
      <c r="L171" s="51"/>
      <c r="M171" s="51"/>
      <c r="N171" s="51"/>
      <c r="O171" s="51"/>
      <c r="P171" s="51"/>
      <c r="Q171" s="51"/>
      <c r="R171" s="51"/>
      <c r="S171" s="51"/>
      <c r="T171" s="51"/>
      <c r="U171" s="51"/>
      <c r="V171" s="51"/>
      <c r="W171" s="51"/>
      <c r="X171" s="51"/>
      <c r="Y171" s="51"/>
      <c r="Z171" s="51"/>
    </row>
    <row r="172" spans="1:26" ht="14.25" customHeight="1" x14ac:dyDescent="0.3">
      <c r="A172" s="84"/>
      <c r="B172" s="51"/>
      <c r="C172" s="51"/>
      <c r="D172" s="85"/>
      <c r="E172" s="51"/>
      <c r="F172" s="51"/>
      <c r="G172" s="51"/>
      <c r="H172" s="51"/>
      <c r="I172" s="51"/>
      <c r="J172" s="51"/>
      <c r="K172" s="51"/>
      <c r="L172" s="51"/>
      <c r="M172" s="51"/>
      <c r="N172" s="51"/>
      <c r="O172" s="51"/>
      <c r="P172" s="51"/>
      <c r="Q172" s="51"/>
      <c r="R172" s="51"/>
      <c r="S172" s="51"/>
      <c r="T172" s="51"/>
      <c r="U172" s="51"/>
      <c r="V172" s="51"/>
      <c r="W172" s="51"/>
      <c r="X172" s="51"/>
      <c r="Y172" s="51"/>
      <c r="Z172" s="51"/>
    </row>
    <row r="173" spans="1:26" ht="14.25" customHeight="1" x14ac:dyDescent="0.3">
      <c r="A173" s="84"/>
      <c r="B173" s="51"/>
      <c r="C173" s="51"/>
      <c r="D173" s="85"/>
      <c r="E173" s="51"/>
      <c r="F173" s="51"/>
      <c r="G173" s="51"/>
      <c r="H173" s="51"/>
      <c r="I173" s="51"/>
      <c r="J173" s="51"/>
      <c r="K173" s="51"/>
      <c r="L173" s="51"/>
      <c r="M173" s="51"/>
      <c r="N173" s="51"/>
      <c r="O173" s="51"/>
      <c r="P173" s="51"/>
      <c r="Q173" s="51"/>
      <c r="R173" s="51"/>
      <c r="S173" s="51"/>
      <c r="T173" s="51"/>
      <c r="U173" s="51"/>
      <c r="V173" s="51"/>
      <c r="W173" s="51"/>
      <c r="X173" s="51"/>
      <c r="Y173" s="51"/>
      <c r="Z173" s="51"/>
    </row>
    <row r="174" spans="1:26" ht="14.25" customHeight="1" x14ac:dyDescent="0.3">
      <c r="A174" s="84"/>
      <c r="B174" s="51"/>
      <c r="C174" s="51"/>
      <c r="D174" s="85"/>
      <c r="E174" s="51"/>
      <c r="F174" s="51"/>
      <c r="G174" s="51"/>
      <c r="H174" s="51"/>
      <c r="I174" s="51"/>
      <c r="J174" s="51"/>
      <c r="K174" s="51"/>
      <c r="L174" s="51"/>
      <c r="M174" s="51"/>
      <c r="N174" s="51"/>
      <c r="O174" s="51"/>
      <c r="P174" s="51"/>
      <c r="Q174" s="51"/>
      <c r="R174" s="51"/>
      <c r="S174" s="51"/>
      <c r="T174" s="51"/>
      <c r="U174" s="51"/>
      <c r="V174" s="51"/>
      <c r="W174" s="51"/>
      <c r="X174" s="51"/>
      <c r="Y174" s="51"/>
      <c r="Z174" s="51"/>
    </row>
    <row r="175" spans="1:26" ht="14.25" customHeight="1" x14ac:dyDescent="0.3">
      <c r="A175" s="84"/>
      <c r="B175" s="51"/>
      <c r="C175" s="51"/>
      <c r="D175" s="85"/>
      <c r="E175" s="51"/>
      <c r="F175" s="51"/>
      <c r="G175" s="51"/>
      <c r="H175" s="51"/>
      <c r="I175" s="51"/>
      <c r="J175" s="51"/>
      <c r="K175" s="51"/>
      <c r="L175" s="51"/>
      <c r="M175" s="51"/>
      <c r="N175" s="51"/>
      <c r="O175" s="51"/>
      <c r="P175" s="51"/>
      <c r="Q175" s="51"/>
      <c r="R175" s="51"/>
      <c r="S175" s="51"/>
      <c r="T175" s="51"/>
      <c r="U175" s="51"/>
      <c r="V175" s="51"/>
      <c r="W175" s="51"/>
      <c r="X175" s="51"/>
      <c r="Y175" s="51"/>
      <c r="Z175" s="51"/>
    </row>
    <row r="176" spans="1:26" ht="14.25" customHeight="1" x14ac:dyDescent="0.3">
      <c r="A176" s="84"/>
      <c r="B176" s="51"/>
      <c r="C176" s="51"/>
      <c r="D176" s="85"/>
      <c r="E176" s="51"/>
      <c r="F176" s="51"/>
      <c r="G176" s="51"/>
      <c r="H176" s="51"/>
      <c r="I176" s="51"/>
      <c r="J176" s="51"/>
      <c r="K176" s="51"/>
      <c r="L176" s="51"/>
      <c r="M176" s="51"/>
      <c r="N176" s="51"/>
      <c r="O176" s="51"/>
      <c r="P176" s="51"/>
      <c r="Q176" s="51"/>
      <c r="R176" s="51"/>
      <c r="S176" s="51"/>
      <c r="T176" s="51"/>
      <c r="U176" s="51"/>
      <c r="V176" s="51"/>
      <c r="W176" s="51"/>
      <c r="X176" s="51"/>
      <c r="Y176" s="51"/>
      <c r="Z176" s="51"/>
    </row>
    <row r="177" spans="1:26" ht="14.25" customHeight="1" x14ac:dyDescent="0.3">
      <c r="A177" s="84"/>
      <c r="B177" s="51"/>
      <c r="C177" s="51"/>
      <c r="D177" s="85"/>
      <c r="E177" s="51"/>
      <c r="F177" s="51"/>
      <c r="G177" s="51"/>
      <c r="H177" s="51"/>
      <c r="I177" s="51"/>
      <c r="J177" s="51"/>
      <c r="K177" s="51"/>
      <c r="L177" s="51"/>
      <c r="M177" s="51"/>
      <c r="N177" s="51"/>
      <c r="O177" s="51"/>
      <c r="P177" s="51"/>
      <c r="Q177" s="51"/>
      <c r="R177" s="51"/>
      <c r="S177" s="51"/>
      <c r="T177" s="51"/>
      <c r="U177" s="51"/>
      <c r="V177" s="51"/>
      <c r="W177" s="51"/>
      <c r="X177" s="51"/>
      <c r="Y177" s="51"/>
      <c r="Z177" s="51"/>
    </row>
    <row r="178" spans="1:26" ht="14.25" customHeight="1" x14ac:dyDescent="0.3">
      <c r="A178" s="84"/>
      <c r="B178" s="51"/>
      <c r="C178" s="51"/>
      <c r="D178" s="85"/>
      <c r="E178" s="51"/>
      <c r="F178" s="51"/>
      <c r="G178" s="51"/>
      <c r="H178" s="51"/>
      <c r="I178" s="51"/>
      <c r="J178" s="51"/>
      <c r="K178" s="51"/>
      <c r="L178" s="51"/>
      <c r="M178" s="51"/>
      <c r="N178" s="51"/>
      <c r="O178" s="51"/>
      <c r="P178" s="51"/>
      <c r="Q178" s="51"/>
      <c r="R178" s="51"/>
      <c r="S178" s="51"/>
      <c r="T178" s="51"/>
      <c r="U178" s="51"/>
      <c r="V178" s="51"/>
      <c r="W178" s="51"/>
      <c r="X178" s="51"/>
      <c r="Y178" s="51"/>
      <c r="Z178" s="51"/>
    </row>
    <row r="179" spans="1:26" ht="14.25" customHeight="1" x14ac:dyDescent="0.3">
      <c r="A179" s="84"/>
      <c r="B179" s="51"/>
      <c r="C179" s="51"/>
      <c r="D179" s="85"/>
      <c r="E179" s="51"/>
      <c r="F179" s="51"/>
      <c r="G179" s="51"/>
      <c r="H179" s="51"/>
      <c r="I179" s="51"/>
      <c r="J179" s="51"/>
      <c r="K179" s="51"/>
      <c r="L179" s="51"/>
      <c r="M179" s="51"/>
      <c r="N179" s="51"/>
      <c r="O179" s="51"/>
      <c r="P179" s="51"/>
      <c r="Q179" s="51"/>
      <c r="R179" s="51"/>
      <c r="S179" s="51"/>
      <c r="T179" s="51"/>
      <c r="U179" s="51"/>
      <c r="V179" s="51"/>
      <c r="W179" s="51"/>
      <c r="X179" s="51"/>
      <c r="Y179" s="51"/>
      <c r="Z179" s="51"/>
    </row>
    <row r="180" spans="1:26" ht="14.25" customHeight="1" x14ac:dyDescent="0.3">
      <c r="A180" s="84"/>
      <c r="B180" s="51"/>
      <c r="C180" s="51"/>
      <c r="D180" s="85"/>
      <c r="E180" s="51"/>
      <c r="F180" s="51"/>
      <c r="G180" s="51"/>
      <c r="H180" s="51"/>
      <c r="I180" s="51"/>
      <c r="J180" s="51"/>
      <c r="K180" s="51"/>
      <c r="L180" s="51"/>
      <c r="M180" s="51"/>
      <c r="N180" s="51"/>
      <c r="O180" s="51"/>
      <c r="P180" s="51"/>
      <c r="Q180" s="51"/>
      <c r="R180" s="51"/>
      <c r="S180" s="51"/>
      <c r="T180" s="51"/>
      <c r="U180" s="51"/>
      <c r="V180" s="51"/>
      <c r="W180" s="51"/>
      <c r="X180" s="51"/>
      <c r="Y180" s="51"/>
      <c r="Z180" s="51"/>
    </row>
    <row r="181" spans="1:26" ht="14.25" customHeight="1" x14ac:dyDescent="0.3">
      <c r="A181" s="84"/>
      <c r="B181" s="51"/>
      <c r="C181" s="51"/>
      <c r="D181" s="85"/>
      <c r="E181" s="51"/>
      <c r="F181" s="51"/>
      <c r="G181" s="51"/>
      <c r="H181" s="51"/>
      <c r="I181" s="51"/>
      <c r="J181" s="51"/>
      <c r="K181" s="51"/>
      <c r="L181" s="51"/>
      <c r="M181" s="51"/>
      <c r="N181" s="51"/>
      <c r="O181" s="51"/>
      <c r="P181" s="51"/>
      <c r="Q181" s="51"/>
      <c r="R181" s="51"/>
      <c r="S181" s="51"/>
      <c r="T181" s="51"/>
      <c r="U181" s="51"/>
      <c r="V181" s="51"/>
      <c r="W181" s="51"/>
      <c r="X181" s="51"/>
      <c r="Y181" s="51"/>
      <c r="Z181" s="51"/>
    </row>
    <row r="182" spans="1:26" ht="14.25" customHeight="1" x14ac:dyDescent="0.3">
      <c r="A182" s="84"/>
      <c r="B182" s="51"/>
      <c r="C182" s="51"/>
      <c r="D182" s="85"/>
      <c r="E182" s="51"/>
      <c r="F182" s="51"/>
      <c r="G182" s="51"/>
      <c r="H182" s="51"/>
      <c r="I182" s="51"/>
      <c r="J182" s="51"/>
      <c r="K182" s="51"/>
      <c r="L182" s="51"/>
      <c r="M182" s="51"/>
      <c r="N182" s="51"/>
      <c r="O182" s="51"/>
      <c r="P182" s="51"/>
      <c r="Q182" s="51"/>
      <c r="R182" s="51"/>
      <c r="S182" s="51"/>
      <c r="T182" s="51"/>
      <c r="U182" s="51"/>
      <c r="V182" s="51"/>
      <c r="W182" s="51"/>
      <c r="X182" s="51"/>
      <c r="Y182" s="51"/>
      <c r="Z182" s="51"/>
    </row>
    <row r="183" spans="1:26" ht="14.25" customHeight="1" x14ac:dyDescent="0.3">
      <c r="A183" s="84"/>
      <c r="B183" s="51"/>
      <c r="C183" s="51"/>
      <c r="D183" s="85"/>
      <c r="E183" s="51"/>
      <c r="F183" s="51"/>
      <c r="G183" s="51"/>
      <c r="H183" s="51"/>
      <c r="I183" s="51"/>
      <c r="J183" s="51"/>
      <c r="K183" s="51"/>
      <c r="L183" s="51"/>
      <c r="M183" s="51"/>
      <c r="N183" s="51"/>
      <c r="O183" s="51"/>
      <c r="P183" s="51"/>
      <c r="Q183" s="51"/>
      <c r="R183" s="51"/>
      <c r="S183" s="51"/>
      <c r="T183" s="51"/>
      <c r="U183" s="51"/>
      <c r="V183" s="51"/>
      <c r="W183" s="51"/>
      <c r="X183" s="51"/>
      <c r="Y183" s="51"/>
      <c r="Z183" s="51"/>
    </row>
    <row r="184" spans="1:26" ht="14.25" customHeight="1" x14ac:dyDescent="0.3">
      <c r="A184" s="84"/>
      <c r="B184" s="51"/>
      <c r="C184" s="51"/>
      <c r="D184" s="85"/>
      <c r="E184" s="51"/>
      <c r="F184" s="51"/>
      <c r="G184" s="51"/>
      <c r="H184" s="51"/>
      <c r="I184" s="51"/>
      <c r="J184" s="51"/>
      <c r="K184" s="51"/>
      <c r="L184" s="51"/>
      <c r="M184" s="51"/>
      <c r="N184" s="51"/>
      <c r="O184" s="51"/>
      <c r="P184" s="51"/>
      <c r="Q184" s="51"/>
      <c r="R184" s="51"/>
      <c r="S184" s="51"/>
      <c r="T184" s="51"/>
      <c r="U184" s="51"/>
      <c r="V184" s="51"/>
      <c r="W184" s="51"/>
      <c r="X184" s="51"/>
      <c r="Y184" s="51"/>
      <c r="Z184" s="51"/>
    </row>
    <row r="185" spans="1:26" ht="14.25" customHeight="1" x14ac:dyDescent="0.3">
      <c r="A185" s="84"/>
      <c r="B185" s="51"/>
      <c r="C185" s="51"/>
      <c r="D185" s="85"/>
      <c r="E185" s="51"/>
      <c r="F185" s="51"/>
      <c r="G185" s="51"/>
      <c r="H185" s="51"/>
      <c r="I185" s="51"/>
      <c r="J185" s="51"/>
      <c r="K185" s="51"/>
      <c r="L185" s="51"/>
      <c r="M185" s="51"/>
      <c r="N185" s="51"/>
      <c r="O185" s="51"/>
      <c r="P185" s="51"/>
      <c r="Q185" s="51"/>
      <c r="R185" s="51"/>
      <c r="S185" s="51"/>
      <c r="T185" s="51"/>
      <c r="U185" s="51"/>
      <c r="V185" s="51"/>
      <c r="W185" s="51"/>
      <c r="X185" s="51"/>
      <c r="Y185" s="51"/>
      <c r="Z185" s="51"/>
    </row>
    <row r="186" spans="1:26" ht="14.25" customHeight="1" x14ac:dyDescent="0.3">
      <c r="A186" s="84"/>
      <c r="B186" s="51"/>
      <c r="C186" s="51"/>
      <c r="D186" s="85"/>
      <c r="E186" s="51"/>
      <c r="F186" s="51"/>
      <c r="G186" s="51"/>
      <c r="H186" s="51"/>
      <c r="I186" s="51"/>
      <c r="J186" s="51"/>
      <c r="K186" s="51"/>
      <c r="L186" s="51"/>
      <c r="M186" s="51"/>
      <c r="N186" s="51"/>
      <c r="O186" s="51"/>
      <c r="P186" s="51"/>
      <c r="Q186" s="51"/>
      <c r="R186" s="51"/>
      <c r="S186" s="51"/>
      <c r="T186" s="51"/>
      <c r="U186" s="51"/>
      <c r="V186" s="51"/>
      <c r="W186" s="51"/>
      <c r="X186" s="51"/>
      <c r="Y186" s="51"/>
      <c r="Z186" s="51"/>
    </row>
    <row r="187" spans="1:26" ht="14.25" customHeight="1" x14ac:dyDescent="0.3">
      <c r="A187" s="84"/>
      <c r="B187" s="51"/>
      <c r="C187" s="51"/>
      <c r="D187" s="85"/>
      <c r="E187" s="51"/>
      <c r="F187" s="51"/>
      <c r="G187" s="51"/>
      <c r="H187" s="51"/>
      <c r="I187" s="51"/>
      <c r="J187" s="51"/>
      <c r="K187" s="51"/>
      <c r="L187" s="51"/>
      <c r="M187" s="51"/>
      <c r="N187" s="51"/>
      <c r="O187" s="51"/>
      <c r="P187" s="51"/>
      <c r="Q187" s="51"/>
      <c r="R187" s="51"/>
      <c r="S187" s="51"/>
      <c r="T187" s="51"/>
      <c r="U187" s="51"/>
      <c r="V187" s="51"/>
      <c r="W187" s="51"/>
      <c r="X187" s="51"/>
      <c r="Y187" s="51"/>
      <c r="Z187" s="51"/>
    </row>
    <row r="188" spans="1:26" ht="14.25" customHeight="1" x14ac:dyDescent="0.3">
      <c r="A188" s="84"/>
      <c r="B188" s="51"/>
      <c r="C188" s="51"/>
      <c r="D188" s="85"/>
      <c r="E188" s="51"/>
      <c r="F188" s="51"/>
      <c r="G188" s="51"/>
      <c r="H188" s="51"/>
      <c r="I188" s="51"/>
      <c r="J188" s="51"/>
      <c r="K188" s="51"/>
      <c r="L188" s="51"/>
      <c r="M188" s="51"/>
      <c r="N188" s="51"/>
      <c r="O188" s="51"/>
      <c r="P188" s="51"/>
      <c r="Q188" s="51"/>
      <c r="R188" s="51"/>
      <c r="S188" s="51"/>
      <c r="T188" s="51"/>
      <c r="U188" s="51"/>
      <c r="V188" s="51"/>
      <c r="W188" s="51"/>
      <c r="X188" s="51"/>
      <c r="Y188" s="51"/>
      <c r="Z188" s="51"/>
    </row>
    <row r="189" spans="1:26" ht="14.25" customHeight="1" x14ac:dyDescent="0.3">
      <c r="A189" s="84"/>
      <c r="B189" s="51"/>
      <c r="C189" s="51"/>
      <c r="D189" s="85"/>
      <c r="E189" s="51"/>
      <c r="F189" s="51"/>
      <c r="G189" s="51"/>
      <c r="H189" s="51"/>
      <c r="I189" s="51"/>
      <c r="J189" s="51"/>
      <c r="K189" s="51"/>
      <c r="L189" s="51"/>
      <c r="M189" s="51"/>
      <c r="N189" s="51"/>
      <c r="O189" s="51"/>
      <c r="P189" s="51"/>
      <c r="Q189" s="51"/>
      <c r="R189" s="51"/>
      <c r="S189" s="51"/>
      <c r="T189" s="51"/>
      <c r="U189" s="51"/>
      <c r="V189" s="51"/>
      <c r="W189" s="51"/>
      <c r="X189" s="51"/>
      <c r="Y189" s="51"/>
      <c r="Z189" s="51"/>
    </row>
    <row r="190" spans="1:26" ht="14.25" customHeight="1" x14ac:dyDescent="0.3">
      <c r="A190" s="84"/>
      <c r="B190" s="51"/>
      <c r="C190" s="51"/>
      <c r="D190" s="85"/>
      <c r="E190" s="51"/>
      <c r="F190" s="51"/>
      <c r="G190" s="51"/>
      <c r="H190" s="51"/>
      <c r="I190" s="51"/>
      <c r="J190" s="51"/>
      <c r="K190" s="51"/>
      <c r="L190" s="51"/>
      <c r="M190" s="51"/>
      <c r="N190" s="51"/>
      <c r="O190" s="51"/>
      <c r="P190" s="51"/>
      <c r="Q190" s="51"/>
      <c r="R190" s="51"/>
      <c r="S190" s="51"/>
      <c r="T190" s="51"/>
      <c r="U190" s="51"/>
      <c r="V190" s="51"/>
      <c r="W190" s="51"/>
      <c r="X190" s="51"/>
      <c r="Y190" s="51"/>
      <c r="Z190" s="51"/>
    </row>
    <row r="191" spans="1:26" ht="14.25" customHeight="1" x14ac:dyDescent="0.3">
      <c r="A191" s="84"/>
      <c r="B191" s="51"/>
      <c r="C191" s="51"/>
      <c r="D191" s="85"/>
      <c r="E191" s="51"/>
      <c r="F191" s="51"/>
      <c r="G191" s="51"/>
      <c r="H191" s="51"/>
      <c r="I191" s="51"/>
      <c r="J191" s="51"/>
      <c r="K191" s="51"/>
      <c r="L191" s="51"/>
      <c r="M191" s="51"/>
      <c r="N191" s="51"/>
      <c r="O191" s="51"/>
      <c r="P191" s="51"/>
      <c r="Q191" s="51"/>
      <c r="R191" s="51"/>
      <c r="S191" s="51"/>
      <c r="T191" s="51"/>
      <c r="U191" s="51"/>
      <c r="V191" s="51"/>
      <c r="W191" s="51"/>
      <c r="X191" s="51"/>
      <c r="Y191" s="51"/>
      <c r="Z191" s="51"/>
    </row>
    <row r="192" spans="1:26" ht="14.25" customHeight="1" x14ac:dyDescent="0.3">
      <c r="A192" s="84"/>
      <c r="B192" s="51"/>
      <c r="C192" s="51"/>
      <c r="D192" s="85"/>
      <c r="E192" s="51"/>
      <c r="F192" s="51"/>
      <c r="G192" s="51"/>
      <c r="H192" s="51"/>
      <c r="I192" s="51"/>
      <c r="J192" s="51"/>
      <c r="K192" s="51"/>
      <c r="L192" s="51"/>
      <c r="M192" s="51"/>
      <c r="N192" s="51"/>
      <c r="O192" s="51"/>
      <c r="P192" s="51"/>
      <c r="Q192" s="51"/>
      <c r="R192" s="51"/>
      <c r="S192" s="51"/>
      <c r="T192" s="51"/>
      <c r="U192" s="51"/>
      <c r="V192" s="51"/>
      <c r="W192" s="51"/>
      <c r="X192" s="51"/>
      <c r="Y192" s="51"/>
      <c r="Z192" s="51"/>
    </row>
    <row r="193" spans="1:26" ht="14.25" customHeight="1" x14ac:dyDescent="0.3">
      <c r="A193" s="84"/>
      <c r="B193" s="51"/>
      <c r="C193" s="51"/>
      <c r="D193" s="85"/>
      <c r="E193" s="51"/>
      <c r="F193" s="51"/>
      <c r="G193" s="51"/>
      <c r="H193" s="51"/>
      <c r="I193" s="51"/>
      <c r="J193" s="51"/>
      <c r="K193" s="51"/>
      <c r="L193" s="51"/>
      <c r="M193" s="51"/>
      <c r="N193" s="51"/>
      <c r="O193" s="51"/>
      <c r="P193" s="51"/>
      <c r="Q193" s="51"/>
      <c r="R193" s="51"/>
      <c r="S193" s="51"/>
      <c r="T193" s="51"/>
      <c r="U193" s="51"/>
      <c r="V193" s="51"/>
      <c r="W193" s="51"/>
      <c r="X193" s="51"/>
      <c r="Y193" s="51"/>
      <c r="Z193" s="51"/>
    </row>
    <row r="194" spans="1:26" ht="14.25" customHeight="1" x14ac:dyDescent="0.3">
      <c r="A194" s="84"/>
      <c r="B194" s="51"/>
      <c r="C194" s="51"/>
      <c r="D194" s="85"/>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ht="14.25" customHeight="1" x14ac:dyDescent="0.3">
      <c r="A195" s="84"/>
      <c r="B195" s="51"/>
      <c r="C195" s="51"/>
      <c r="D195" s="85"/>
      <c r="E195" s="51"/>
      <c r="F195" s="51"/>
      <c r="G195" s="51"/>
      <c r="H195" s="51"/>
      <c r="I195" s="51"/>
      <c r="J195" s="51"/>
      <c r="K195" s="51"/>
      <c r="L195" s="51"/>
      <c r="M195" s="51"/>
      <c r="N195" s="51"/>
      <c r="O195" s="51"/>
      <c r="P195" s="51"/>
      <c r="Q195" s="51"/>
      <c r="R195" s="51"/>
      <c r="S195" s="51"/>
      <c r="T195" s="51"/>
      <c r="U195" s="51"/>
      <c r="V195" s="51"/>
      <c r="W195" s="51"/>
      <c r="X195" s="51"/>
      <c r="Y195" s="51"/>
      <c r="Z195" s="51"/>
    </row>
    <row r="196" spans="1:26" ht="14.25" customHeight="1" x14ac:dyDescent="0.3">
      <c r="A196" s="84"/>
      <c r="B196" s="51"/>
      <c r="C196" s="51"/>
      <c r="D196" s="85"/>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ht="14.25" customHeight="1" x14ac:dyDescent="0.3">
      <c r="A197" s="84"/>
      <c r="B197" s="51"/>
      <c r="C197" s="51"/>
      <c r="D197" s="85"/>
      <c r="E197" s="51"/>
      <c r="F197" s="51"/>
      <c r="G197" s="51"/>
      <c r="H197" s="51"/>
      <c r="I197" s="51"/>
      <c r="J197" s="51"/>
      <c r="K197" s="51"/>
      <c r="L197" s="51"/>
      <c r="M197" s="51"/>
      <c r="N197" s="51"/>
      <c r="O197" s="51"/>
      <c r="P197" s="51"/>
      <c r="Q197" s="51"/>
      <c r="R197" s="51"/>
      <c r="S197" s="51"/>
      <c r="T197" s="51"/>
      <c r="U197" s="51"/>
      <c r="V197" s="51"/>
      <c r="W197" s="51"/>
      <c r="X197" s="51"/>
      <c r="Y197" s="51"/>
      <c r="Z197" s="51"/>
    </row>
    <row r="198" spans="1:26" ht="14.25" customHeight="1" x14ac:dyDescent="0.3">
      <c r="A198" s="84"/>
      <c r="B198" s="51"/>
      <c r="C198" s="51"/>
      <c r="D198" s="85"/>
      <c r="E198" s="51"/>
      <c r="F198" s="51"/>
      <c r="G198" s="51"/>
      <c r="H198" s="51"/>
      <c r="I198" s="51"/>
      <c r="J198" s="51"/>
      <c r="K198" s="51"/>
      <c r="L198" s="51"/>
      <c r="M198" s="51"/>
      <c r="N198" s="51"/>
      <c r="O198" s="51"/>
      <c r="P198" s="51"/>
      <c r="Q198" s="51"/>
      <c r="R198" s="51"/>
      <c r="S198" s="51"/>
      <c r="T198" s="51"/>
      <c r="U198" s="51"/>
      <c r="V198" s="51"/>
      <c r="W198" s="51"/>
      <c r="X198" s="51"/>
      <c r="Y198" s="51"/>
      <c r="Z198" s="51"/>
    </row>
    <row r="199" spans="1:26" ht="14.25" customHeight="1" x14ac:dyDescent="0.3">
      <c r="A199" s="84"/>
      <c r="B199" s="51"/>
      <c r="C199" s="51"/>
      <c r="D199" s="85"/>
      <c r="E199" s="51"/>
      <c r="F199" s="51"/>
      <c r="G199" s="51"/>
      <c r="H199" s="51"/>
      <c r="I199" s="51"/>
      <c r="J199" s="51"/>
      <c r="K199" s="51"/>
      <c r="L199" s="51"/>
      <c r="M199" s="51"/>
      <c r="N199" s="51"/>
      <c r="O199" s="51"/>
      <c r="P199" s="51"/>
      <c r="Q199" s="51"/>
      <c r="R199" s="51"/>
      <c r="S199" s="51"/>
      <c r="T199" s="51"/>
      <c r="U199" s="51"/>
      <c r="V199" s="51"/>
      <c r="W199" s="51"/>
      <c r="X199" s="51"/>
      <c r="Y199" s="51"/>
      <c r="Z199" s="51"/>
    </row>
    <row r="200" spans="1:26" ht="14.25" customHeight="1" x14ac:dyDescent="0.3">
      <c r="A200" s="84"/>
      <c r="B200" s="51"/>
      <c r="C200" s="51"/>
      <c r="D200" s="85"/>
      <c r="E200" s="51"/>
      <c r="F200" s="51"/>
      <c r="G200" s="51"/>
      <c r="H200" s="51"/>
      <c r="I200" s="51"/>
      <c r="J200" s="51"/>
      <c r="K200" s="51"/>
      <c r="L200" s="51"/>
      <c r="M200" s="51"/>
      <c r="N200" s="51"/>
      <c r="O200" s="51"/>
      <c r="P200" s="51"/>
      <c r="Q200" s="51"/>
      <c r="R200" s="51"/>
      <c r="S200" s="51"/>
      <c r="T200" s="51"/>
      <c r="U200" s="51"/>
      <c r="V200" s="51"/>
      <c r="W200" s="51"/>
      <c r="X200" s="51"/>
      <c r="Y200" s="51"/>
      <c r="Z200" s="51"/>
    </row>
    <row r="201" spans="1:26" ht="14.25" customHeight="1" x14ac:dyDescent="0.3">
      <c r="A201" s="84"/>
      <c r="B201" s="51"/>
      <c r="C201" s="51"/>
      <c r="D201" s="85"/>
      <c r="E201" s="51"/>
      <c r="F201" s="51"/>
      <c r="G201" s="51"/>
      <c r="H201" s="51"/>
      <c r="I201" s="51"/>
      <c r="J201" s="51"/>
      <c r="K201" s="51"/>
      <c r="L201" s="51"/>
      <c r="M201" s="51"/>
      <c r="N201" s="51"/>
      <c r="O201" s="51"/>
      <c r="P201" s="51"/>
      <c r="Q201" s="51"/>
      <c r="R201" s="51"/>
      <c r="S201" s="51"/>
      <c r="T201" s="51"/>
      <c r="U201" s="51"/>
      <c r="V201" s="51"/>
      <c r="W201" s="51"/>
      <c r="X201" s="51"/>
      <c r="Y201" s="51"/>
      <c r="Z201" s="51"/>
    </row>
    <row r="202" spans="1:26" ht="14.25" customHeight="1" x14ac:dyDescent="0.3">
      <c r="A202" s="84"/>
      <c r="B202" s="51"/>
      <c r="C202" s="51"/>
      <c r="D202" s="85"/>
      <c r="E202" s="51"/>
      <c r="F202" s="51"/>
      <c r="G202" s="51"/>
      <c r="H202" s="51"/>
      <c r="I202" s="51"/>
      <c r="J202" s="51"/>
      <c r="K202" s="51"/>
      <c r="L202" s="51"/>
      <c r="M202" s="51"/>
      <c r="N202" s="51"/>
      <c r="O202" s="51"/>
      <c r="P202" s="51"/>
      <c r="Q202" s="51"/>
      <c r="R202" s="51"/>
      <c r="S202" s="51"/>
      <c r="T202" s="51"/>
      <c r="U202" s="51"/>
      <c r="V202" s="51"/>
      <c r="W202" s="51"/>
      <c r="X202" s="51"/>
      <c r="Y202" s="51"/>
      <c r="Z202" s="51"/>
    </row>
    <row r="203" spans="1:26" ht="14.25" customHeight="1" x14ac:dyDescent="0.3">
      <c r="A203" s="84"/>
      <c r="B203" s="51"/>
      <c r="C203" s="51"/>
      <c r="D203" s="85"/>
      <c r="E203" s="51"/>
      <c r="F203" s="51"/>
      <c r="G203" s="51"/>
      <c r="H203" s="51"/>
      <c r="I203" s="51"/>
      <c r="J203" s="51"/>
      <c r="K203" s="51"/>
      <c r="L203" s="51"/>
      <c r="M203" s="51"/>
      <c r="N203" s="51"/>
      <c r="O203" s="51"/>
      <c r="P203" s="51"/>
      <c r="Q203" s="51"/>
      <c r="R203" s="51"/>
      <c r="S203" s="51"/>
      <c r="T203" s="51"/>
      <c r="U203" s="51"/>
      <c r="V203" s="51"/>
      <c r="W203" s="51"/>
      <c r="X203" s="51"/>
      <c r="Y203" s="51"/>
      <c r="Z203" s="51"/>
    </row>
    <row r="204" spans="1:26" ht="14.25" customHeight="1" x14ac:dyDescent="0.3">
      <c r="A204" s="84"/>
      <c r="B204" s="51"/>
      <c r="C204" s="51"/>
      <c r="D204" s="85"/>
      <c r="E204" s="51"/>
      <c r="F204" s="51"/>
      <c r="G204" s="51"/>
      <c r="H204" s="51"/>
      <c r="I204" s="51"/>
      <c r="J204" s="51"/>
      <c r="K204" s="51"/>
      <c r="L204" s="51"/>
      <c r="M204" s="51"/>
      <c r="N204" s="51"/>
      <c r="O204" s="51"/>
      <c r="P204" s="51"/>
      <c r="Q204" s="51"/>
      <c r="R204" s="51"/>
      <c r="S204" s="51"/>
      <c r="T204" s="51"/>
      <c r="U204" s="51"/>
      <c r="V204" s="51"/>
      <c r="W204" s="51"/>
      <c r="X204" s="51"/>
      <c r="Y204" s="51"/>
      <c r="Z204" s="51"/>
    </row>
    <row r="205" spans="1:26" ht="14.25" customHeight="1" x14ac:dyDescent="0.3">
      <c r="A205" s="84"/>
      <c r="B205" s="51"/>
      <c r="C205" s="51"/>
      <c r="D205" s="85"/>
      <c r="E205" s="51"/>
      <c r="F205" s="51"/>
      <c r="G205" s="51"/>
      <c r="H205" s="51"/>
      <c r="I205" s="51"/>
      <c r="J205" s="51"/>
      <c r="K205" s="51"/>
      <c r="L205" s="51"/>
      <c r="M205" s="51"/>
      <c r="N205" s="51"/>
      <c r="O205" s="51"/>
      <c r="P205" s="51"/>
      <c r="Q205" s="51"/>
      <c r="R205" s="51"/>
      <c r="S205" s="51"/>
      <c r="T205" s="51"/>
      <c r="U205" s="51"/>
      <c r="V205" s="51"/>
      <c r="W205" s="51"/>
      <c r="X205" s="51"/>
      <c r="Y205" s="51"/>
      <c r="Z205" s="51"/>
    </row>
    <row r="206" spans="1:26" ht="14.25" customHeight="1" x14ac:dyDescent="0.3">
      <c r="A206" s="84"/>
      <c r="B206" s="51"/>
      <c r="C206" s="51"/>
      <c r="D206" s="85"/>
      <c r="E206" s="51"/>
      <c r="F206" s="51"/>
      <c r="G206" s="51"/>
      <c r="H206" s="51"/>
      <c r="I206" s="51"/>
      <c r="J206" s="51"/>
      <c r="K206" s="51"/>
      <c r="L206" s="51"/>
      <c r="M206" s="51"/>
      <c r="N206" s="51"/>
      <c r="O206" s="51"/>
      <c r="P206" s="51"/>
      <c r="Q206" s="51"/>
      <c r="R206" s="51"/>
      <c r="S206" s="51"/>
      <c r="T206" s="51"/>
      <c r="U206" s="51"/>
      <c r="V206" s="51"/>
      <c r="W206" s="51"/>
      <c r="X206" s="51"/>
      <c r="Y206" s="51"/>
      <c r="Z206" s="51"/>
    </row>
    <row r="207" spans="1:26" ht="14.25" customHeight="1" x14ac:dyDescent="0.3">
      <c r="A207" s="84"/>
      <c r="B207" s="51"/>
      <c r="C207" s="51"/>
      <c r="D207" s="85"/>
      <c r="E207" s="51"/>
      <c r="F207" s="51"/>
      <c r="G207" s="51"/>
      <c r="H207" s="51"/>
      <c r="I207" s="51"/>
      <c r="J207" s="51"/>
      <c r="K207" s="51"/>
      <c r="L207" s="51"/>
      <c r="M207" s="51"/>
      <c r="N207" s="51"/>
      <c r="O207" s="51"/>
      <c r="P207" s="51"/>
      <c r="Q207" s="51"/>
      <c r="R207" s="51"/>
      <c r="S207" s="51"/>
      <c r="T207" s="51"/>
      <c r="U207" s="51"/>
      <c r="V207" s="51"/>
      <c r="W207" s="51"/>
      <c r="X207" s="51"/>
      <c r="Y207" s="51"/>
      <c r="Z207" s="51"/>
    </row>
    <row r="208" spans="1:26" ht="14.25" customHeight="1" x14ac:dyDescent="0.3">
      <c r="A208" s="84"/>
      <c r="B208" s="51"/>
      <c r="C208" s="51"/>
      <c r="D208" s="85"/>
      <c r="E208" s="51"/>
      <c r="F208" s="51"/>
      <c r="G208" s="51"/>
      <c r="H208" s="51"/>
      <c r="I208" s="51"/>
      <c r="J208" s="51"/>
      <c r="K208" s="51"/>
      <c r="L208" s="51"/>
      <c r="M208" s="51"/>
      <c r="N208" s="51"/>
      <c r="O208" s="51"/>
      <c r="P208" s="51"/>
      <c r="Q208" s="51"/>
      <c r="R208" s="51"/>
      <c r="S208" s="51"/>
      <c r="T208" s="51"/>
      <c r="U208" s="51"/>
      <c r="V208" s="51"/>
      <c r="W208" s="51"/>
      <c r="X208" s="51"/>
      <c r="Y208" s="51"/>
      <c r="Z208" s="51"/>
    </row>
    <row r="209" spans="1:26" ht="14.25" customHeight="1" x14ac:dyDescent="0.3">
      <c r="A209" s="84"/>
      <c r="B209" s="51"/>
      <c r="C209" s="51"/>
      <c r="D209" s="85"/>
      <c r="E209" s="51"/>
      <c r="F209" s="51"/>
      <c r="G209" s="51"/>
      <c r="H209" s="51"/>
      <c r="I209" s="51"/>
      <c r="J209" s="51"/>
      <c r="K209" s="51"/>
      <c r="L209" s="51"/>
      <c r="M209" s="51"/>
      <c r="N209" s="51"/>
      <c r="O209" s="51"/>
      <c r="P209" s="51"/>
      <c r="Q209" s="51"/>
      <c r="R209" s="51"/>
      <c r="S209" s="51"/>
      <c r="T209" s="51"/>
      <c r="U209" s="51"/>
      <c r="V209" s="51"/>
      <c r="W209" s="51"/>
      <c r="X209" s="51"/>
      <c r="Y209" s="51"/>
      <c r="Z209" s="51"/>
    </row>
    <row r="210" spans="1:26" ht="14.25" customHeight="1" x14ac:dyDescent="0.3">
      <c r="A210" s="84"/>
      <c r="B210" s="51"/>
      <c r="C210" s="51"/>
      <c r="D210" s="85"/>
      <c r="E210" s="51"/>
      <c r="F210" s="51"/>
      <c r="G210" s="51"/>
      <c r="H210" s="51"/>
      <c r="I210" s="51"/>
      <c r="J210" s="51"/>
      <c r="K210" s="51"/>
      <c r="L210" s="51"/>
      <c r="M210" s="51"/>
      <c r="N210" s="51"/>
      <c r="O210" s="51"/>
      <c r="P210" s="51"/>
      <c r="Q210" s="51"/>
      <c r="R210" s="51"/>
      <c r="S210" s="51"/>
      <c r="T210" s="51"/>
      <c r="U210" s="51"/>
      <c r="V210" s="51"/>
      <c r="W210" s="51"/>
      <c r="X210" s="51"/>
      <c r="Y210" s="51"/>
      <c r="Z210" s="51"/>
    </row>
    <row r="211" spans="1:26" ht="14.25" customHeight="1" x14ac:dyDescent="0.3">
      <c r="A211" s="84"/>
      <c r="B211" s="51"/>
      <c r="C211" s="51"/>
      <c r="D211" s="85"/>
      <c r="E211" s="51"/>
      <c r="F211" s="51"/>
      <c r="G211" s="51"/>
      <c r="H211" s="51"/>
      <c r="I211" s="51"/>
      <c r="J211" s="51"/>
      <c r="K211" s="51"/>
      <c r="L211" s="51"/>
      <c r="M211" s="51"/>
      <c r="N211" s="51"/>
      <c r="O211" s="51"/>
      <c r="P211" s="51"/>
      <c r="Q211" s="51"/>
      <c r="R211" s="51"/>
      <c r="S211" s="51"/>
      <c r="T211" s="51"/>
      <c r="U211" s="51"/>
      <c r="V211" s="51"/>
      <c r="W211" s="51"/>
      <c r="X211" s="51"/>
      <c r="Y211" s="51"/>
      <c r="Z211" s="51"/>
    </row>
    <row r="212" spans="1:26" ht="14.25" customHeight="1" x14ac:dyDescent="0.3">
      <c r="A212" s="84"/>
      <c r="B212" s="51"/>
      <c r="C212" s="51"/>
      <c r="D212" s="85"/>
      <c r="E212" s="51"/>
      <c r="F212" s="51"/>
      <c r="G212" s="51"/>
      <c r="H212" s="51"/>
      <c r="I212" s="51"/>
      <c r="J212" s="51"/>
      <c r="K212" s="51"/>
      <c r="L212" s="51"/>
      <c r="M212" s="51"/>
      <c r="N212" s="51"/>
      <c r="O212" s="51"/>
      <c r="P212" s="51"/>
      <c r="Q212" s="51"/>
      <c r="R212" s="51"/>
      <c r="S212" s="51"/>
      <c r="T212" s="51"/>
      <c r="U212" s="51"/>
      <c r="V212" s="51"/>
      <c r="W212" s="51"/>
      <c r="X212" s="51"/>
      <c r="Y212" s="51"/>
      <c r="Z212" s="51"/>
    </row>
    <row r="213" spans="1:26" ht="14.25" customHeight="1" x14ac:dyDescent="0.3">
      <c r="A213" s="84"/>
      <c r="B213" s="51"/>
      <c r="C213" s="51"/>
      <c r="D213" s="85"/>
      <c r="E213" s="51"/>
      <c r="F213" s="51"/>
      <c r="G213" s="51"/>
      <c r="H213" s="51"/>
      <c r="I213" s="51"/>
      <c r="J213" s="51"/>
      <c r="K213" s="51"/>
      <c r="L213" s="51"/>
      <c r="M213" s="51"/>
      <c r="N213" s="51"/>
      <c r="O213" s="51"/>
      <c r="P213" s="51"/>
      <c r="Q213" s="51"/>
      <c r="R213" s="51"/>
      <c r="S213" s="51"/>
      <c r="T213" s="51"/>
      <c r="U213" s="51"/>
      <c r="V213" s="51"/>
      <c r="W213" s="51"/>
      <c r="X213" s="51"/>
      <c r="Y213" s="51"/>
      <c r="Z213" s="51"/>
    </row>
    <row r="214" spans="1:26" ht="14.25" customHeight="1" x14ac:dyDescent="0.3">
      <c r="A214" s="84"/>
      <c r="B214" s="51"/>
      <c r="C214" s="51"/>
      <c r="D214" s="85"/>
      <c r="E214" s="51"/>
      <c r="F214" s="51"/>
      <c r="G214" s="51"/>
      <c r="H214" s="51"/>
      <c r="I214" s="51"/>
      <c r="J214" s="51"/>
      <c r="K214" s="51"/>
      <c r="L214" s="51"/>
      <c r="M214" s="51"/>
      <c r="N214" s="51"/>
      <c r="O214" s="51"/>
      <c r="P214" s="51"/>
      <c r="Q214" s="51"/>
      <c r="R214" s="51"/>
      <c r="S214" s="51"/>
      <c r="T214" s="51"/>
      <c r="U214" s="51"/>
      <c r="V214" s="51"/>
      <c r="W214" s="51"/>
      <c r="X214" s="51"/>
      <c r="Y214" s="51"/>
      <c r="Z214" s="51"/>
    </row>
    <row r="215" spans="1:26" ht="14.25" customHeight="1" x14ac:dyDescent="0.3">
      <c r="A215" s="84"/>
      <c r="B215" s="51"/>
      <c r="C215" s="51"/>
      <c r="D215" s="85"/>
      <c r="E215" s="51"/>
      <c r="F215" s="51"/>
      <c r="G215" s="51"/>
      <c r="H215" s="51"/>
      <c r="I215" s="51"/>
      <c r="J215" s="51"/>
      <c r="K215" s="51"/>
      <c r="L215" s="51"/>
      <c r="M215" s="51"/>
      <c r="N215" s="51"/>
      <c r="O215" s="51"/>
      <c r="P215" s="51"/>
      <c r="Q215" s="51"/>
      <c r="R215" s="51"/>
      <c r="S215" s="51"/>
      <c r="T215" s="51"/>
      <c r="U215" s="51"/>
      <c r="V215" s="51"/>
      <c r="W215" s="51"/>
      <c r="X215" s="51"/>
      <c r="Y215" s="51"/>
      <c r="Z215" s="51"/>
    </row>
    <row r="216" spans="1:26" ht="14.25" customHeight="1" x14ac:dyDescent="0.3">
      <c r="A216" s="84"/>
      <c r="B216" s="51"/>
      <c r="C216" s="51"/>
      <c r="D216" s="85"/>
      <c r="E216" s="51"/>
      <c r="F216" s="51"/>
      <c r="G216" s="51"/>
      <c r="H216" s="51"/>
      <c r="I216" s="51"/>
      <c r="J216" s="51"/>
      <c r="K216" s="51"/>
      <c r="L216" s="51"/>
      <c r="M216" s="51"/>
      <c r="N216" s="51"/>
      <c r="O216" s="51"/>
      <c r="P216" s="51"/>
      <c r="Q216" s="51"/>
      <c r="R216" s="51"/>
      <c r="S216" s="51"/>
      <c r="T216" s="51"/>
      <c r="U216" s="51"/>
      <c r="V216" s="51"/>
      <c r="W216" s="51"/>
      <c r="X216" s="51"/>
      <c r="Y216" s="51"/>
      <c r="Z216" s="51"/>
    </row>
    <row r="217" spans="1:26" ht="14.25" customHeight="1" x14ac:dyDescent="0.3">
      <c r="A217" s="84"/>
      <c r="B217" s="51"/>
      <c r="C217" s="51"/>
      <c r="D217" s="85"/>
      <c r="E217" s="51"/>
      <c r="F217" s="51"/>
      <c r="G217" s="51"/>
      <c r="H217" s="51"/>
      <c r="I217" s="51"/>
      <c r="J217" s="51"/>
      <c r="K217" s="51"/>
      <c r="L217" s="51"/>
      <c r="M217" s="51"/>
      <c r="N217" s="51"/>
      <c r="O217" s="51"/>
      <c r="P217" s="51"/>
      <c r="Q217" s="51"/>
      <c r="R217" s="51"/>
      <c r="S217" s="51"/>
      <c r="T217" s="51"/>
      <c r="U217" s="51"/>
      <c r="V217" s="51"/>
      <c r="W217" s="51"/>
      <c r="X217" s="51"/>
      <c r="Y217" s="51"/>
      <c r="Z217" s="51"/>
    </row>
    <row r="218" spans="1:26" ht="14.25" customHeight="1" x14ac:dyDescent="0.3">
      <c r="A218" s="84"/>
      <c r="B218" s="51"/>
      <c r="C218" s="51"/>
      <c r="D218" s="85"/>
      <c r="E218" s="51"/>
      <c r="F218" s="51"/>
      <c r="G218" s="51"/>
      <c r="H218" s="51"/>
      <c r="I218" s="51"/>
      <c r="J218" s="51"/>
      <c r="K218" s="51"/>
      <c r="L218" s="51"/>
      <c r="M218" s="51"/>
      <c r="N218" s="51"/>
      <c r="O218" s="51"/>
      <c r="P218" s="51"/>
      <c r="Q218" s="51"/>
      <c r="R218" s="51"/>
      <c r="S218" s="51"/>
      <c r="T218" s="51"/>
      <c r="U218" s="51"/>
      <c r="V218" s="51"/>
      <c r="W218" s="51"/>
      <c r="X218" s="51"/>
      <c r="Y218" s="51"/>
      <c r="Z218" s="51"/>
    </row>
    <row r="219" spans="1:26" ht="14.25" customHeight="1" x14ac:dyDescent="0.3">
      <c r="A219" s="84"/>
      <c r="B219" s="51"/>
      <c r="C219" s="51"/>
      <c r="D219" s="85"/>
      <c r="E219" s="51"/>
      <c r="F219" s="51"/>
      <c r="G219" s="51"/>
      <c r="H219" s="51"/>
      <c r="I219" s="51"/>
      <c r="J219" s="51"/>
      <c r="K219" s="51"/>
      <c r="L219" s="51"/>
      <c r="M219" s="51"/>
      <c r="N219" s="51"/>
      <c r="O219" s="51"/>
      <c r="P219" s="51"/>
      <c r="Q219" s="51"/>
      <c r="R219" s="51"/>
      <c r="S219" s="51"/>
      <c r="T219" s="51"/>
      <c r="U219" s="51"/>
      <c r="V219" s="51"/>
      <c r="W219" s="51"/>
      <c r="X219" s="51"/>
      <c r="Y219" s="51"/>
      <c r="Z219" s="51"/>
    </row>
    <row r="220" spans="1:26" ht="14.25" customHeight="1" x14ac:dyDescent="0.3">
      <c r="A220" s="84"/>
      <c r="B220" s="51"/>
      <c r="C220" s="51"/>
      <c r="D220" s="85"/>
      <c r="E220" s="51"/>
      <c r="F220" s="51"/>
      <c r="G220" s="51"/>
      <c r="H220" s="51"/>
      <c r="I220" s="51"/>
      <c r="J220" s="51"/>
      <c r="K220" s="51"/>
      <c r="L220" s="51"/>
      <c r="M220" s="51"/>
      <c r="N220" s="51"/>
      <c r="O220" s="51"/>
      <c r="P220" s="51"/>
      <c r="Q220" s="51"/>
      <c r="R220" s="51"/>
      <c r="S220" s="51"/>
      <c r="T220" s="51"/>
      <c r="U220" s="51"/>
      <c r="V220" s="51"/>
      <c r="W220" s="51"/>
      <c r="X220" s="51"/>
      <c r="Y220" s="51"/>
      <c r="Z220" s="51"/>
    </row>
    <row r="221" spans="1:26" ht="14.25" customHeight="1" x14ac:dyDescent="0.3">
      <c r="A221" s="84"/>
      <c r="B221" s="51"/>
      <c r="C221" s="51"/>
      <c r="D221" s="85"/>
      <c r="E221" s="51"/>
      <c r="F221" s="51"/>
      <c r="G221" s="51"/>
      <c r="H221" s="51"/>
      <c r="I221" s="51"/>
      <c r="J221" s="51"/>
      <c r="K221" s="51"/>
      <c r="L221" s="51"/>
      <c r="M221" s="51"/>
      <c r="N221" s="51"/>
      <c r="O221" s="51"/>
      <c r="P221" s="51"/>
      <c r="Q221" s="51"/>
      <c r="R221" s="51"/>
      <c r="S221" s="51"/>
      <c r="T221" s="51"/>
      <c r="U221" s="51"/>
      <c r="V221" s="51"/>
      <c r="W221" s="51"/>
      <c r="X221" s="51"/>
      <c r="Y221" s="51"/>
      <c r="Z221" s="51"/>
    </row>
    <row r="222" spans="1:26" ht="14.25" customHeight="1" x14ac:dyDescent="0.3">
      <c r="A222" s="84"/>
      <c r="B222" s="51"/>
      <c r="C222" s="51"/>
      <c r="D222" s="85"/>
      <c r="E222" s="51"/>
      <c r="F222" s="51"/>
      <c r="G222" s="51"/>
      <c r="H222" s="51"/>
      <c r="I222" s="51"/>
      <c r="J222" s="51"/>
      <c r="K222" s="51"/>
      <c r="L222" s="51"/>
      <c r="M222" s="51"/>
      <c r="N222" s="51"/>
      <c r="O222" s="51"/>
      <c r="P222" s="51"/>
      <c r="Q222" s="51"/>
      <c r="R222" s="51"/>
      <c r="S222" s="51"/>
      <c r="T222" s="51"/>
      <c r="U222" s="51"/>
      <c r="V222" s="51"/>
      <c r="W222" s="51"/>
      <c r="X222" s="51"/>
      <c r="Y222" s="51"/>
      <c r="Z222" s="51"/>
    </row>
    <row r="223" spans="1:26" ht="14.25" customHeight="1" x14ac:dyDescent="0.3">
      <c r="A223" s="84"/>
      <c r="B223" s="51"/>
      <c r="C223" s="51"/>
      <c r="D223" s="85"/>
      <c r="E223" s="51"/>
      <c r="F223" s="51"/>
      <c r="G223" s="51"/>
      <c r="H223" s="51"/>
      <c r="I223" s="51"/>
      <c r="J223" s="51"/>
      <c r="K223" s="51"/>
      <c r="L223" s="51"/>
      <c r="M223" s="51"/>
      <c r="N223" s="51"/>
      <c r="O223" s="51"/>
      <c r="P223" s="51"/>
      <c r="Q223" s="51"/>
      <c r="R223" s="51"/>
      <c r="S223" s="51"/>
      <c r="T223" s="51"/>
      <c r="U223" s="51"/>
      <c r="V223" s="51"/>
      <c r="W223" s="51"/>
      <c r="X223" s="51"/>
      <c r="Y223" s="51"/>
      <c r="Z223" s="51"/>
    </row>
    <row r="224" spans="1:26" ht="14.25" customHeight="1" x14ac:dyDescent="0.3">
      <c r="A224" s="84"/>
      <c r="B224" s="51"/>
      <c r="C224" s="51"/>
      <c r="D224" s="85"/>
      <c r="E224" s="51"/>
      <c r="F224" s="51"/>
      <c r="G224" s="51"/>
      <c r="H224" s="51"/>
      <c r="I224" s="51"/>
      <c r="J224" s="51"/>
      <c r="K224" s="51"/>
      <c r="L224" s="51"/>
      <c r="M224" s="51"/>
      <c r="N224" s="51"/>
      <c r="O224" s="51"/>
      <c r="P224" s="51"/>
      <c r="Q224" s="51"/>
      <c r="R224" s="51"/>
      <c r="S224" s="51"/>
      <c r="T224" s="51"/>
      <c r="U224" s="51"/>
      <c r="V224" s="51"/>
      <c r="W224" s="51"/>
      <c r="X224" s="51"/>
      <c r="Y224" s="51"/>
      <c r="Z224" s="51"/>
    </row>
    <row r="225" spans="1:26" ht="14.25" customHeight="1" x14ac:dyDescent="0.3">
      <c r="A225" s="84"/>
      <c r="B225" s="51"/>
      <c r="C225" s="51"/>
      <c r="D225" s="85"/>
      <c r="E225" s="51"/>
      <c r="F225" s="51"/>
      <c r="G225" s="51"/>
      <c r="H225" s="51"/>
      <c r="I225" s="51"/>
      <c r="J225" s="51"/>
      <c r="K225" s="51"/>
      <c r="L225" s="51"/>
      <c r="M225" s="51"/>
      <c r="N225" s="51"/>
      <c r="O225" s="51"/>
      <c r="P225" s="51"/>
      <c r="Q225" s="51"/>
      <c r="R225" s="51"/>
      <c r="S225" s="51"/>
      <c r="T225" s="51"/>
      <c r="U225" s="51"/>
      <c r="V225" s="51"/>
      <c r="W225" s="51"/>
      <c r="X225" s="51"/>
      <c r="Y225" s="51"/>
      <c r="Z225" s="51"/>
    </row>
    <row r="226" spans="1:26" ht="14.25" customHeight="1" x14ac:dyDescent="0.3">
      <c r="A226" s="84"/>
      <c r="B226" s="51"/>
      <c r="C226" s="51"/>
      <c r="D226" s="85"/>
      <c r="E226" s="51"/>
      <c r="F226" s="51"/>
      <c r="G226" s="51"/>
      <c r="H226" s="51"/>
      <c r="I226" s="51"/>
      <c r="J226" s="51"/>
      <c r="K226" s="51"/>
      <c r="L226" s="51"/>
      <c r="M226" s="51"/>
      <c r="N226" s="51"/>
      <c r="O226" s="51"/>
      <c r="P226" s="51"/>
      <c r="Q226" s="51"/>
      <c r="R226" s="51"/>
      <c r="S226" s="51"/>
      <c r="T226" s="51"/>
      <c r="U226" s="51"/>
      <c r="V226" s="51"/>
      <c r="W226" s="51"/>
      <c r="X226" s="51"/>
      <c r="Y226" s="51"/>
      <c r="Z226" s="51"/>
    </row>
    <row r="227" spans="1:26" ht="14.25" customHeight="1" x14ac:dyDescent="0.3">
      <c r="A227" s="84"/>
      <c r="B227" s="51"/>
      <c r="C227" s="51"/>
      <c r="D227" s="85"/>
      <c r="E227" s="51"/>
      <c r="F227" s="51"/>
      <c r="G227" s="51"/>
      <c r="H227" s="51"/>
      <c r="I227" s="51"/>
      <c r="J227" s="51"/>
      <c r="K227" s="51"/>
      <c r="L227" s="51"/>
      <c r="M227" s="51"/>
      <c r="N227" s="51"/>
      <c r="O227" s="51"/>
      <c r="P227" s="51"/>
      <c r="Q227" s="51"/>
      <c r="R227" s="51"/>
      <c r="S227" s="51"/>
      <c r="T227" s="51"/>
      <c r="U227" s="51"/>
      <c r="V227" s="51"/>
      <c r="W227" s="51"/>
      <c r="X227" s="51"/>
      <c r="Y227" s="51"/>
      <c r="Z227" s="51"/>
    </row>
    <row r="228" spans="1:26" ht="14.25" customHeight="1" x14ac:dyDescent="0.3">
      <c r="A228" s="84"/>
      <c r="B228" s="51"/>
      <c r="C228" s="51"/>
      <c r="D228" s="85"/>
      <c r="E228" s="51"/>
      <c r="F228" s="51"/>
      <c r="G228" s="51"/>
      <c r="H228" s="51"/>
      <c r="I228" s="51"/>
      <c r="J228" s="51"/>
      <c r="K228" s="51"/>
      <c r="L228" s="51"/>
      <c r="M228" s="51"/>
      <c r="N228" s="51"/>
      <c r="O228" s="51"/>
      <c r="P228" s="51"/>
      <c r="Q228" s="51"/>
      <c r="R228" s="51"/>
      <c r="S228" s="51"/>
      <c r="T228" s="51"/>
      <c r="U228" s="51"/>
      <c r="V228" s="51"/>
      <c r="W228" s="51"/>
      <c r="X228" s="51"/>
      <c r="Y228" s="51"/>
      <c r="Z228" s="51"/>
    </row>
    <row r="229" spans="1:26" ht="14.25" customHeight="1" x14ac:dyDescent="0.3">
      <c r="A229" s="84"/>
      <c r="B229" s="51"/>
      <c r="C229" s="51"/>
      <c r="D229" s="85"/>
      <c r="E229" s="51"/>
      <c r="F229" s="51"/>
      <c r="G229" s="51"/>
      <c r="H229" s="51"/>
      <c r="I229" s="51"/>
      <c r="J229" s="51"/>
      <c r="K229" s="51"/>
      <c r="L229" s="51"/>
      <c r="M229" s="51"/>
      <c r="N229" s="51"/>
      <c r="O229" s="51"/>
      <c r="P229" s="51"/>
      <c r="Q229" s="51"/>
      <c r="R229" s="51"/>
      <c r="S229" s="51"/>
      <c r="T229" s="51"/>
      <c r="U229" s="51"/>
      <c r="V229" s="51"/>
      <c r="W229" s="51"/>
      <c r="X229" s="51"/>
      <c r="Y229" s="51"/>
      <c r="Z229" s="51"/>
    </row>
    <row r="230" spans="1:26" ht="14.25" customHeight="1" x14ac:dyDescent="0.3">
      <c r="A230" s="84"/>
      <c r="B230" s="51"/>
      <c r="C230" s="51"/>
      <c r="D230" s="85"/>
      <c r="E230" s="51"/>
      <c r="F230" s="51"/>
      <c r="G230" s="51"/>
      <c r="H230" s="51"/>
      <c r="I230" s="51"/>
      <c r="J230" s="51"/>
      <c r="K230" s="51"/>
      <c r="L230" s="51"/>
      <c r="M230" s="51"/>
      <c r="N230" s="51"/>
      <c r="O230" s="51"/>
      <c r="P230" s="51"/>
      <c r="Q230" s="51"/>
      <c r="R230" s="51"/>
      <c r="S230" s="51"/>
      <c r="T230" s="51"/>
      <c r="U230" s="51"/>
      <c r="V230" s="51"/>
      <c r="W230" s="51"/>
      <c r="X230" s="51"/>
      <c r="Y230" s="51"/>
      <c r="Z230" s="51"/>
    </row>
    <row r="231" spans="1:26" ht="14.25" customHeight="1" x14ac:dyDescent="0.3">
      <c r="A231" s="84"/>
      <c r="B231" s="51"/>
      <c r="C231" s="51"/>
      <c r="D231" s="85"/>
      <c r="E231" s="51"/>
      <c r="F231" s="51"/>
      <c r="G231" s="51"/>
      <c r="H231" s="51"/>
      <c r="I231" s="51"/>
      <c r="J231" s="51"/>
      <c r="K231" s="51"/>
      <c r="L231" s="51"/>
      <c r="M231" s="51"/>
      <c r="N231" s="51"/>
      <c r="O231" s="51"/>
      <c r="P231" s="51"/>
      <c r="Q231" s="51"/>
      <c r="R231" s="51"/>
      <c r="S231" s="51"/>
      <c r="T231" s="51"/>
      <c r="U231" s="51"/>
      <c r="V231" s="51"/>
      <c r="W231" s="51"/>
      <c r="X231" s="51"/>
      <c r="Y231" s="51"/>
      <c r="Z231" s="51"/>
    </row>
    <row r="232" spans="1:26" ht="14.25" customHeight="1" x14ac:dyDescent="0.3">
      <c r="A232" s="84"/>
      <c r="B232" s="51"/>
      <c r="C232" s="51"/>
      <c r="D232" s="85"/>
      <c r="E232" s="51"/>
      <c r="F232" s="51"/>
      <c r="G232" s="51"/>
      <c r="H232" s="51"/>
      <c r="I232" s="51"/>
      <c r="J232" s="51"/>
      <c r="K232" s="51"/>
      <c r="L232" s="51"/>
      <c r="M232" s="51"/>
      <c r="N232" s="51"/>
      <c r="O232" s="51"/>
      <c r="P232" s="51"/>
      <c r="Q232" s="51"/>
      <c r="R232" s="51"/>
      <c r="S232" s="51"/>
      <c r="T232" s="51"/>
      <c r="U232" s="51"/>
      <c r="V232" s="51"/>
      <c r="W232" s="51"/>
      <c r="X232" s="51"/>
      <c r="Y232" s="51"/>
      <c r="Z232" s="51"/>
    </row>
    <row r="233" spans="1:26" ht="14.25" customHeight="1" x14ac:dyDescent="0.3">
      <c r="A233" s="84"/>
      <c r="B233" s="51"/>
      <c r="C233" s="51"/>
      <c r="D233" s="85"/>
      <c r="E233" s="51"/>
      <c r="F233" s="51"/>
      <c r="G233" s="51"/>
      <c r="H233" s="51"/>
      <c r="I233" s="51"/>
      <c r="J233" s="51"/>
      <c r="K233" s="51"/>
      <c r="L233" s="51"/>
      <c r="M233" s="51"/>
      <c r="N233" s="51"/>
      <c r="O233" s="51"/>
      <c r="P233" s="51"/>
      <c r="Q233" s="51"/>
      <c r="R233" s="51"/>
      <c r="S233" s="51"/>
      <c r="T233" s="51"/>
      <c r="U233" s="51"/>
      <c r="V233" s="51"/>
      <c r="W233" s="51"/>
      <c r="X233" s="51"/>
      <c r="Y233" s="51"/>
      <c r="Z233" s="51"/>
    </row>
    <row r="234" spans="1:26" ht="14.25" customHeight="1" x14ac:dyDescent="0.3">
      <c r="A234" s="84"/>
      <c r="B234" s="51"/>
      <c r="C234" s="51"/>
      <c r="D234" s="85"/>
      <c r="E234" s="51"/>
      <c r="F234" s="51"/>
      <c r="G234" s="51"/>
      <c r="H234" s="51"/>
      <c r="I234" s="51"/>
      <c r="J234" s="51"/>
      <c r="K234" s="51"/>
      <c r="L234" s="51"/>
      <c r="M234" s="51"/>
      <c r="N234" s="51"/>
      <c r="O234" s="51"/>
      <c r="P234" s="51"/>
      <c r="Q234" s="51"/>
      <c r="R234" s="51"/>
      <c r="S234" s="51"/>
      <c r="T234" s="51"/>
      <c r="U234" s="51"/>
      <c r="V234" s="51"/>
      <c r="W234" s="51"/>
      <c r="X234" s="51"/>
      <c r="Y234" s="51"/>
      <c r="Z234" s="51"/>
    </row>
    <row r="235" spans="1:26" ht="14.25" customHeight="1" x14ac:dyDescent="0.3">
      <c r="A235" s="84"/>
      <c r="B235" s="51"/>
      <c r="C235" s="51"/>
      <c r="D235" s="85"/>
      <c r="E235" s="51"/>
      <c r="F235" s="51"/>
      <c r="G235" s="51"/>
      <c r="H235" s="51"/>
      <c r="I235" s="51"/>
      <c r="J235" s="51"/>
      <c r="K235" s="51"/>
      <c r="L235" s="51"/>
      <c r="M235" s="51"/>
      <c r="N235" s="51"/>
      <c r="O235" s="51"/>
      <c r="P235" s="51"/>
      <c r="Q235" s="51"/>
      <c r="R235" s="51"/>
      <c r="S235" s="51"/>
      <c r="T235" s="51"/>
      <c r="U235" s="51"/>
      <c r="V235" s="51"/>
      <c r="W235" s="51"/>
      <c r="X235" s="51"/>
      <c r="Y235" s="51"/>
      <c r="Z235" s="51"/>
    </row>
    <row r="236" spans="1:26" ht="14.25" customHeight="1" x14ac:dyDescent="0.3">
      <c r="A236" s="84"/>
      <c r="B236" s="51"/>
      <c r="C236" s="51"/>
      <c r="D236" s="85"/>
      <c r="E236" s="51"/>
      <c r="F236" s="51"/>
      <c r="G236" s="51"/>
      <c r="H236" s="51"/>
      <c r="I236" s="51"/>
      <c r="J236" s="51"/>
      <c r="K236" s="51"/>
      <c r="L236" s="51"/>
      <c r="M236" s="51"/>
      <c r="N236" s="51"/>
      <c r="O236" s="51"/>
      <c r="P236" s="51"/>
      <c r="Q236" s="51"/>
      <c r="R236" s="51"/>
      <c r="S236" s="51"/>
      <c r="T236" s="51"/>
      <c r="U236" s="51"/>
      <c r="V236" s="51"/>
      <c r="W236" s="51"/>
      <c r="X236" s="51"/>
      <c r="Y236" s="51"/>
      <c r="Z236" s="51"/>
    </row>
    <row r="237" spans="1:26" ht="14.25" customHeight="1" x14ac:dyDescent="0.3">
      <c r="A237" s="84"/>
      <c r="B237" s="51"/>
      <c r="C237" s="51"/>
      <c r="D237" s="85"/>
      <c r="E237" s="51"/>
      <c r="F237" s="51"/>
      <c r="G237" s="51"/>
      <c r="H237" s="51"/>
      <c r="I237" s="51"/>
      <c r="J237" s="51"/>
      <c r="K237" s="51"/>
      <c r="L237" s="51"/>
      <c r="M237" s="51"/>
      <c r="N237" s="51"/>
      <c r="O237" s="51"/>
      <c r="P237" s="51"/>
      <c r="Q237" s="51"/>
      <c r="R237" s="51"/>
      <c r="S237" s="51"/>
      <c r="T237" s="51"/>
      <c r="U237" s="51"/>
      <c r="V237" s="51"/>
      <c r="W237" s="51"/>
      <c r="X237" s="51"/>
      <c r="Y237" s="51"/>
      <c r="Z237" s="51"/>
    </row>
    <row r="238" spans="1:26" ht="14.25" customHeight="1" x14ac:dyDescent="0.3">
      <c r="A238" s="84"/>
      <c r="B238" s="51"/>
      <c r="C238" s="51"/>
      <c r="D238" s="85"/>
      <c r="E238" s="51"/>
      <c r="F238" s="51"/>
      <c r="G238" s="51"/>
      <c r="H238" s="51"/>
      <c r="I238" s="51"/>
      <c r="J238" s="51"/>
      <c r="K238" s="51"/>
      <c r="L238" s="51"/>
      <c r="M238" s="51"/>
      <c r="N238" s="51"/>
      <c r="O238" s="51"/>
      <c r="P238" s="51"/>
      <c r="Q238" s="51"/>
      <c r="R238" s="51"/>
      <c r="S238" s="51"/>
      <c r="T238" s="51"/>
      <c r="U238" s="51"/>
      <c r="V238" s="51"/>
      <c r="W238" s="51"/>
      <c r="X238" s="51"/>
      <c r="Y238" s="51"/>
      <c r="Z238" s="51"/>
    </row>
    <row r="239" spans="1:26" ht="14.25" customHeight="1" x14ac:dyDescent="0.3">
      <c r="A239" s="84"/>
      <c r="B239" s="51"/>
      <c r="C239" s="51"/>
      <c r="D239" s="85"/>
      <c r="E239" s="51"/>
      <c r="F239" s="51"/>
      <c r="G239" s="51"/>
      <c r="H239" s="51"/>
      <c r="I239" s="51"/>
      <c r="J239" s="51"/>
      <c r="K239" s="51"/>
      <c r="L239" s="51"/>
      <c r="M239" s="51"/>
      <c r="N239" s="51"/>
      <c r="O239" s="51"/>
      <c r="P239" s="51"/>
      <c r="Q239" s="51"/>
      <c r="R239" s="51"/>
      <c r="S239" s="51"/>
      <c r="T239" s="51"/>
      <c r="U239" s="51"/>
      <c r="V239" s="51"/>
      <c r="W239" s="51"/>
      <c r="X239" s="51"/>
      <c r="Y239" s="51"/>
      <c r="Z239" s="51"/>
    </row>
    <row r="240" spans="1:26" ht="14.25" customHeight="1" x14ac:dyDescent="0.3">
      <c r="A240" s="84"/>
      <c r="B240" s="51"/>
      <c r="C240" s="51"/>
      <c r="D240" s="85"/>
      <c r="E240" s="51"/>
      <c r="F240" s="51"/>
      <c r="G240" s="51"/>
      <c r="H240" s="51"/>
      <c r="I240" s="51"/>
      <c r="J240" s="51"/>
      <c r="K240" s="51"/>
      <c r="L240" s="51"/>
      <c r="M240" s="51"/>
      <c r="N240" s="51"/>
      <c r="O240" s="51"/>
      <c r="P240" s="51"/>
      <c r="Q240" s="51"/>
      <c r="R240" s="51"/>
      <c r="S240" s="51"/>
      <c r="T240" s="51"/>
      <c r="U240" s="51"/>
      <c r="V240" s="51"/>
      <c r="W240" s="51"/>
      <c r="X240" s="51"/>
      <c r="Y240" s="51"/>
      <c r="Z240" s="51"/>
    </row>
    <row r="241" spans="1:26" ht="14.25" customHeight="1" x14ac:dyDescent="0.3">
      <c r="A241" s="84"/>
      <c r="B241" s="51"/>
      <c r="C241" s="51"/>
      <c r="D241" s="85"/>
      <c r="E241" s="51"/>
      <c r="F241" s="51"/>
      <c r="G241" s="51"/>
      <c r="H241" s="51"/>
      <c r="I241" s="51"/>
      <c r="J241" s="51"/>
      <c r="K241" s="51"/>
      <c r="L241" s="51"/>
      <c r="M241" s="51"/>
      <c r="N241" s="51"/>
      <c r="O241" s="51"/>
      <c r="P241" s="51"/>
      <c r="Q241" s="51"/>
      <c r="R241" s="51"/>
      <c r="S241" s="51"/>
      <c r="T241" s="51"/>
      <c r="U241" s="51"/>
      <c r="V241" s="51"/>
      <c r="W241" s="51"/>
      <c r="X241" s="51"/>
      <c r="Y241" s="51"/>
      <c r="Z241" s="51"/>
    </row>
    <row r="242" spans="1:26" ht="14.25" customHeight="1" x14ac:dyDescent="0.3">
      <c r="A242" s="84"/>
      <c r="B242" s="51"/>
      <c r="C242" s="51"/>
      <c r="D242" s="85"/>
      <c r="E242" s="51"/>
      <c r="F242" s="51"/>
      <c r="G242" s="51"/>
      <c r="H242" s="51"/>
      <c r="I242" s="51"/>
      <c r="J242" s="51"/>
      <c r="K242" s="51"/>
      <c r="L242" s="51"/>
      <c r="M242" s="51"/>
      <c r="N242" s="51"/>
      <c r="O242" s="51"/>
      <c r="P242" s="51"/>
      <c r="Q242" s="51"/>
      <c r="R242" s="51"/>
      <c r="S242" s="51"/>
      <c r="T242" s="51"/>
      <c r="U242" s="51"/>
      <c r="V242" s="51"/>
      <c r="W242" s="51"/>
      <c r="X242" s="51"/>
      <c r="Y242" s="51"/>
      <c r="Z242" s="51"/>
    </row>
    <row r="243" spans="1:26" ht="14.25" customHeight="1" x14ac:dyDescent="0.3">
      <c r="A243" s="84"/>
      <c r="B243" s="51"/>
      <c r="C243" s="51"/>
      <c r="D243" s="85"/>
      <c r="E243" s="51"/>
      <c r="F243" s="51"/>
      <c r="G243" s="51"/>
      <c r="H243" s="51"/>
      <c r="I243" s="51"/>
      <c r="J243" s="51"/>
      <c r="K243" s="51"/>
      <c r="L243" s="51"/>
      <c r="M243" s="51"/>
      <c r="N243" s="51"/>
      <c r="O243" s="51"/>
      <c r="P243" s="51"/>
      <c r="Q243" s="51"/>
      <c r="R243" s="51"/>
      <c r="S243" s="51"/>
      <c r="T243" s="51"/>
      <c r="U243" s="51"/>
      <c r="V243" s="51"/>
      <c r="W243" s="51"/>
      <c r="X243" s="51"/>
      <c r="Y243" s="51"/>
      <c r="Z243" s="51"/>
    </row>
    <row r="244" spans="1:26" ht="14.25" customHeight="1" x14ac:dyDescent="0.3">
      <c r="A244" s="84"/>
      <c r="B244" s="51"/>
      <c r="C244" s="51"/>
      <c r="D244" s="85"/>
      <c r="E244" s="51"/>
      <c r="F244" s="51"/>
      <c r="G244" s="51"/>
      <c r="H244" s="51"/>
      <c r="I244" s="51"/>
      <c r="J244" s="51"/>
      <c r="K244" s="51"/>
      <c r="L244" s="51"/>
      <c r="M244" s="51"/>
      <c r="N244" s="51"/>
      <c r="O244" s="51"/>
      <c r="P244" s="51"/>
      <c r="Q244" s="51"/>
      <c r="R244" s="51"/>
      <c r="S244" s="51"/>
      <c r="T244" s="51"/>
      <c r="U244" s="51"/>
      <c r="V244" s="51"/>
      <c r="W244" s="51"/>
      <c r="X244" s="51"/>
      <c r="Y244" s="51"/>
      <c r="Z244" s="51"/>
    </row>
    <row r="245" spans="1:26" ht="14.25" customHeight="1" x14ac:dyDescent="0.3">
      <c r="A245" s="84"/>
      <c r="B245" s="51"/>
      <c r="C245" s="51"/>
      <c r="D245" s="85"/>
      <c r="E245" s="51"/>
      <c r="F245" s="51"/>
      <c r="G245" s="51"/>
      <c r="H245" s="51"/>
      <c r="I245" s="51"/>
      <c r="J245" s="51"/>
      <c r="K245" s="51"/>
      <c r="L245" s="51"/>
      <c r="M245" s="51"/>
      <c r="N245" s="51"/>
      <c r="O245" s="51"/>
      <c r="P245" s="51"/>
      <c r="Q245" s="51"/>
      <c r="R245" s="51"/>
      <c r="S245" s="51"/>
      <c r="T245" s="51"/>
      <c r="U245" s="51"/>
      <c r="V245" s="51"/>
      <c r="W245" s="51"/>
      <c r="X245" s="51"/>
      <c r="Y245" s="51"/>
      <c r="Z245" s="51"/>
    </row>
    <row r="246" spans="1:26" ht="14.25" customHeight="1" x14ac:dyDescent="0.3">
      <c r="A246" s="84"/>
      <c r="B246" s="51"/>
      <c r="C246" s="51"/>
      <c r="D246" s="85"/>
      <c r="E246" s="51"/>
      <c r="F246" s="51"/>
      <c r="G246" s="51"/>
      <c r="H246" s="51"/>
      <c r="I246" s="51"/>
      <c r="J246" s="51"/>
      <c r="K246" s="51"/>
      <c r="L246" s="51"/>
      <c r="M246" s="51"/>
      <c r="N246" s="51"/>
      <c r="O246" s="51"/>
      <c r="P246" s="51"/>
      <c r="Q246" s="51"/>
      <c r="R246" s="51"/>
      <c r="S246" s="51"/>
      <c r="T246" s="51"/>
      <c r="U246" s="51"/>
      <c r="V246" s="51"/>
      <c r="W246" s="51"/>
      <c r="X246" s="51"/>
      <c r="Y246" s="51"/>
      <c r="Z246" s="51"/>
    </row>
    <row r="247" spans="1:26" ht="14.25" customHeight="1" x14ac:dyDescent="0.3">
      <c r="A247" s="84"/>
      <c r="B247" s="51"/>
      <c r="C247" s="51"/>
      <c r="D247" s="85"/>
      <c r="E247" s="51"/>
      <c r="F247" s="51"/>
      <c r="G247" s="51"/>
      <c r="H247" s="51"/>
      <c r="I247" s="51"/>
      <c r="J247" s="51"/>
      <c r="K247" s="51"/>
      <c r="L247" s="51"/>
      <c r="M247" s="51"/>
      <c r="N247" s="51"/>
      <c r="O247" s="51"/>
      <c r="P247" s="51"/>
      <c r="Q247" s="51"/>
      <c r="R247" s="51"/>
      <c r="S247" s="51"/>
      <c r="T247" s="51"/>
      <c r="U247" s="51"/>
      <c r="V247" s="51"/>
      <c r="W247" s="51"/>
      <c r="X247" s="51"/>
      <c r="Y247" s="51"/>
      <c r="Z247" s="51"/>
    </row>
    <row r="248" spans="1:26" ht="14.25" customHeight="1" x14ac:dyDescent="0.3">
      <c r="A248" s="84"/>
      <c r="B248" s="51"/>
      <c r="C248" s="51"/>
      <c r="D248" s="85"/>
      <c r="E248" s="51"/>
      <c r="F248" s="51"/>
      <c r="G248" s="51"/>
      <c r="H248" s="51"/>
      <c r="I248" s="51"/>
      <c r="J248" s="51"/>
      <c r="K248" s="51"/>
      <c r="L248" s="51"/>
      <c r="M248" s="51"/>
      <c r="N248" s="51"/>
      <c r="O248" s="51"/>
      <c r="P248" s="51"/>
      <c r="Q248" s="51"/>
      <c r="R248" s="51"/>
      <c r="S248" s="51"/>
      <c r="T248" s="51"/>
      <c r="U248" s="51"/>
      <c r="V248" s="51"/>
      <c r="W248" s="51"/>
      <c r="X248" s="51"/>
      <c r="Y248" s="51"/>
      <c r="Z248" s="51"/>
    </row>
    <row r="249" spans="1:26" ht="14.25" customHeight="1" x14ac:dyDescent="0.3">
      <c r="A249" s="84"/>
      <c r="B249" s="51"/>
      <c r="C249" s="51"/>
      <c r="D249" s="85"/>
      <c r="E249" s="51"/>
      <c r="F249" s="51"/>
      <c r="G249" s="51"/>
      <c r="H249" s="51"/>
      <c r="I249" s="51"/>
      <c r="J249" s="51"/>
      <c r="K249" s="51"/>
      <c r="L249" s="51"/>
      <c r="M249" s="51"/>
      <c r="N249" s="51"/>
      <c r="O249" s="51"/>
      <c r="P249" s="51"/>
      <c r="Q249" s="51"/>
      <c r="R249" s="51"/>
      <c r="S249" s="51"/>
      <c r="T249" s="51"/>
      <c r="U249" s="51"/>
      <c r="V249" s="51"/>
      <c r="W249" s="51"/>
      <c r="X249" s="51"/>
      <c r="Y249" s="51"/>
      <c r="Z249" s="51"/>
    </row>
    <row r="250" spans="1:26" ht="14.25" customHeight="1" x14ac:dyDescent="0.3">
      <c r="A250" s="84"/>
      <c r="B250" s="51"/>
      <c r="C250" s="51"/>
      <c r="D250" s="85"/>
      <c r="E250" s="51"/>
      <c r="F250" s="51"/>
      <c r="G250" s="51"/>
      <c r="H250" s="51"/>
      <c r="I250" s="51"/>
      <c r="J250" s="51"/>
      <c r="K250" s="51"/>
      <c r="L250" s="51"/>
      <c r="M250" s="51"/>
      <c r="N250" s="51"/>
      <c r="O250" s="51"/>
      <c r="P250" s="51"/>
      <c r="Q250" s="51"/>
      <c r="R250" s="51"/>
      <c r="S250" s="51"/>
      <c r="T250" s="51"/>
      <c r="U250" s="51"/>
      <c r="V250" s="51"/>
      <c r="W250" s="51"/>
      <c r="X250" s="51"/>
      <c r="Y250" s="51"/>
      <c r="Z250" s="51"/>
    </row>
    <row r="251" spans="1:26" ht="14.25" customHeight="1" x14ac:dyDescent="0.3">
      <c r="A251" s="84"/>
      <c r="B251" s="51"/>
      <c r="C251" s="51"/>
      <c r="D251" s="85"/>
      <c r="E251" s="51"/>
      <c r="F251" s="51"/>
      <c r="G251" s="51"/>
      <c r="H251" s="51"/>
      <c r="I251" s="51"/>
      <c r="J251" s="51"/>
      <c r="K251" s="51"/>
      <c r="L251" s="51"/>
      <c r="M251" s="51"/>
      <c r="N251" s="51"/>
      <c r="O251" s="51"/>
      <c r="P251" s="51"/>
      <c r="Q251" s="51"/>
      <c r="R251" s="51"/>
      <c r="S251" s="51"/>
      <c r="T251" s="51"/>
      <c r="U251" s="51"/>
      <c r="V251" s="51"/>
      <c r="W251" s="51"/>
      <c r="X251" s="51"/>
      <c r="Y251" s="51"/>
      <c r="Z251" s="51"/>
    </row>
    <row r="252" spans="1:26" ht="14.25" customHeight="1" x14ac:dyDescent="0.3">
      <c r="A252" s="84"/>
      <c r="B252" s="51"/>
      <c r="C252" s="51"/>
      <c r="D252" s="85"/>
      <c r="E252" s="51"/>
      <c r="F252" s="51"/>
      <c r="G252" s="51"/>
      <c r="H252" s="51"/>
      <c r="I252" s="51"/>
      <c r="J252" s="51"/>
      <c r="K252" s="51"/>
      <c r="L252" s="51"/>
      <c r="M252" s="51"/>
      <c r="N252" s="51"/>
      <c r="O252" s="51"/>
      <c r="P252" s="51"/>
      <c r="Q252" s="51"/>
      <c r="R252" s="51"/>
      <c r="S252" s="51"/>
      <c r="T252" s="51"/>
      <c r="U252" s="51"/>
      <c r="V252" s="51"/>
      <c r="W252" s="51"/>
      <c r="X252" s="51"/>
      <c r="Y252" s="51"/>
      <c r="Z252" s="51"/>
    </row>
    <row r="253" spans="1:26" ht="14.25" customHeight="1" x14ac:dyDescent="0.3">
      <c r="A253" s="84"/>
      <c r="B253" s="51"/>
      <c r="C253" s="51"/>
      <c r="D253" s="85"/>
      <c r="E253" s="51"/>
      <c r="F253" s="51"/>
      <c r="G253" s="51"/>
      <c r="H253" s="51"/>
      <c r="I253" s="51"/>
      <c r="J253" s="51"/>
      <c r="K253" s="51"/>
      <c r="L253" s="51"/>
      <c r="M253" s="51"/>
      <c r="N253" s="51"/>
      <c r="O253" s="51"/>
      <c r="P253" s="51"/>
      <c r="Q253" s="51"/>
      <c r="R253" s="51"/>
      <c r="S253" s="51"/>
      <c r="T253" s="51"/>
      <c r="U253" s="51"/>
      <c r="V253" s="51"/>
      <c r="W253" s="51"/>
      <c r="X253" s="51"/>
      <c r="Y253" s="51"/>
      <c r="Z253" s="51"/>
    </row>
    <row r="254" spans="1:26" ht="14.25" customHeight="1" x14ac:dyDescent="0.3">
      <c r="A254" s="84"/>
      <c r="B254" s="51"/>
      <c r="C254" s="51"/>
      <c r="D254" s="85"/>
      <c r="E254" s="51"/>
      <c r="F254" s="51"/>
      <c r="G254" s="51"/>
      <c r="H254" s="51"/>
      <c r="I254" s="51"/>
      <c r="J254" s="51"/>
      <c r="K254" s="51"/>
      <c r="L254" s="51"/>
      <c r="M254" s="51"/>
      <c r="N254" s="51"/>
      <c r="O254" s="51"/>
      <c r="P254" s="51"/>
      <c r="Q254" s="51"/>
      <c r="R254" s="51"/>
      <c r="S254" s="51"/>
      <c r="T254" s="51"/>
      <c r="U254" s="51"/>
      <c r="V254" s="51"/>
      <c r="W254" s="51"/>
      <c r="X254" s="51"/>
      <c r="Y254" s="51"/>
      <c r="Z254" s="51"/>
    </row>
    <row r="255" spans="1:26" ht="14.25" customHeight="1" x14ac:dyDescent="0.3">
      <c r="A255" s="84"/>
      <c r="B255" s="51"/>
      <c r="C255" s="51"/>
      <c r="D255" s="85"/>
      <c r="E255" s="51"/>
      <c r="F255" s="51"/>
      <c r="G255" s="51"/>
      <c r="H255" s="51"/>
      <c r="I255" s="51"/>
      <c r="J255" s="51"/>
      <c r="K255" s="51"/>
      <c r="L255" s="51"/>
      <c r="M255" s="51"/>
      <c r="N255" s="51"/>
      <c r="O255" s="51"/>
      <c r="P255" s="51"/>
      <c r="Q255" s="51"/>
      <c r="R255" s="51"/>
      <c r="S255" s="51"/>
      <c r="T255" s="51"/>
      <c r="U255" s="51"/>
      <c r="V255" s="51"/>
      <c r="W255" s="51"/>
      <c r="X255" s="51"/>
      <c r="Y255" s="51"/>
      <c r="Z255" s="51"/>
    </row>
    <row r="256" spans="1:26" ht="14.25" customHeight="1" x14ac:dyDescent="0.3">
      <c r="A256" s="84"/>
      <c r="B256" s="51"/>
      <c r="C256" s="51"/>
      <c r="D256" s="85"/>
      <c r="E256" s="51"/>
      <c r="F256" s="51"/>
      <c r="G256" s="51"/>
      <c r="H256" s="51"/>
      <c r="I256" s="51"/>
      <c r="J256" s="51"/>
      <c r="K256" s="51"/>
      <c r="L256" s="51"/>
      <c r="M256" s="51"/>
      <c r="N256" s="51"/>
      <c r="O256" s="51"/>
      <c r="P256" s="51"/>
      <c r="Q256" s="51"/>
      <c r="R256" s="51"/>
      <c r="S256" s="51"/>
      <c r="T256" s="51"/>
      <c r="U256" s="51"/>
      <c r="V256" s="51"/>
      <c r="W256" s="51"/>
      <c r="X256" s="51"/>
      <c r="Y256" s="51"/>
      <c r="Z256" s="51"/>
    </row>
    <row r="257" spans="1:26" ht="14.25" customHeight="1" x14ac:dyDescent="0.3">
      <c r="A257" s="84"/>
      <c r="B257" s="51"/>
      <c r="C257" s="51"/>
      <c r="D257" s="85"/>
      <c r="E257" s="51"/>
      <c r="F257" s="51"/>
      <c r="G257" s="51"/>
      <c r="H257" s="51"/>
      <c r="I257" s="51"/>
      <c r="J257" s="51"/>
      <c r="K257" s="51"/>
      <c r="L257" s="51"/>
      <c r="M257" s="51"/>
      <c r="N257" s="51"/>
      <c r="O257" s="51"/>
      <c r="P257" s="51"/>
      <c r="Q257" s="51"/>
      <c r="R257" s="51"/>
      <c r="S257" s="51"/>
      <c r="T257" s="51"/>
      <c r="U257" s="51"/>
      <c r="V257" s="51"/>
      <c r="W257" s="51"/>
      <c r="X257" s="51"/>
      <c r="Y257" s="51"/>
      <c r="Z257" s="51"/>
    </row>
    <row r="258" spans="1:26" ht="14.25" customHeight="1" x14ac:dyDescent="0.3">
      <c r="A258" s="84"/>
      <c r="B258" s="51"/>
      <c r="C258" s="51"/>
      <c r="D258" s="85"/>
      <c r="E258" s="51"/>
      <c r="F258" s="51"/>
      <c r="G258" s="51"/>
      <c r="H258" s="51"/>
      <c r="I258" s="51"/>
      <c r="J258" s="51"/>
      <c r="K258" s="51"/>
      <c r="L258" s="51"/>
      <c r="M258" s="51"/>
      <c r="N258" s="51"/>
      <c r="O258" s="51"/>
      <c r="P258" s="51"/>
      <c r="Q258" s="51"/>
      <c r="R258" s="51"/>
      <c r="S258" s="51"/>
      <c r="T258" s="51"/>
      <c r="U258" s="51"/>
      <c r="V258" s="51"/>
      <c r="W258" s="51"/>
      <c r="X258" s="51"/>
      <c r="Y258" s="51"/>
      <c r="Z258" s="51"/>
    </row>
  </sheetData>
  <mergeCells count="55">
    <mergeCell ref="A48:I48"/>
    <mergeCell ref="B32:D32"/>
    <mergeCell ref="B33:D33"/>
    <mergeCell ref="B20:D20"/>
    <mergeCell ref="B21:D21"/>
    <mergeCell ref="B35:D35"/>
    <mergeCell ref="B24:D24"/>
    <mergeCell ref="B25:D25"/>
    <mergeCell ref="B26:D26"/>
    <mergeCell ref="B27:D27"/>
    <mergeCell ref="B34:D34"/>
    <mergeCell ref="B30:D30"/>
    <mergeCell ref="B31:D31"/>
    <mergeCell ref="B23:D23"/>
    <mergeCell ref="B22:D22"/>
    <mergeCell ref="A46:F46"/>
    <mergeCell ref="B40:C40"/>
    <mergeCell ref="B41:C41"/>
    <mergeCell ref="B42:C42"/>
    <mergeCell ref="B29:D29"/>
    <mergeCell ref="D58:I58"/>
    <mergeCell ref="F49:I49"/>
    <mergeCell ref="F52:I52"/>
    <mergeCell ref="F53:I53"/>
    <mergeCell ref="B55:I55"/>
    <mergeCell ref="B56:I56"/>
    <mergeCell ref="B57:I57"/>
    <mergeCell ref="B43:C43"/>
    <mergeCell ref="B44:C44"/>
    <mergeCell ref="A45:F45"/>
    <mergeCell ref="B37:I37"/>
    <mergeCell ref="B38:C38"/>
    <mergeCell ref="B13:I13"/>
    <mergeCell ref="B14:I14"/>
    <mergeCell ref="B19:D19"/>
    <mergeCell ref="B28:D28"/>
    <mergeCell ref="A36:F36"/>
    <mergeCell ref="B17:D17"/>
    <mergeCell ref="B18:D18"/>
    <mergeCell ref="B39:C39"/>
    <mergeCell ref="B11:I11"/>
    <mergeCell ref="A1:I1"/>
    <mergeCell ref="H2:I2"/>
    <mergeCell ref="F3:I3"/>
    <mergeCell ref="F4:I4"/>
    <mergeCell ref="A5:I5"/>
    <mergeCell ref="B10:I10"/>
    <mergeCell ref="A3:B4"/>
    <mergeCell ref="A6:I6"/>
    <mergeCell ref="B7:I7"/>
    <mergeCell ref="B8:I8"/>
    <mergeCell ref="B9:I9"/>
    <mergeCell ref="B12:I12"/>
    <mergeCell ref="B15:D15"/>
    <mergeCell ref="B16:D16"/>
  </mergeCells>
  <printOptions horizontalCentered="1"/>
  <pageMargins left="0.19685039370078741" right="0.19685039370078741" top="0.19685039370078741" bottom="0.19685039370078741" header="0" footer="0"/>
  <pageSetup paperSize="9" scale="95"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00"/>
  <sheetViews>
    <sheetView workbookViewId="0"/>
  </sheetViews>
  <sheetFormatPr defaultColWidth="14.33203125" defaultRowHeight="15" customHeight="1" x14ac:dyDescent="0.3"/>
  <cols>
    <col min="1" max="1" width="8.77734375" customWidth="1"/>
    <col min="2" max="2" width="33.109375" customWidth="1"/>
    <col min="3" max="3" width="33" customWidth="1"/>
    <col min="4" max="4" width="11.77734375" customWidth="1"/>
    <col min="5" max="5" width="31.33203125" customWidth="1"/>
    <col min="6" max="6" width="40.109375" customWidth="1"/>
    <col min="7" max="11" width="8.77734375" customWidth="1"/>
  </cols>
  <sheetData>
    <row r="1" spans="1:11" ht="14.4" x14ac:dyDescent="0.3">
      <c r="A1" s="94"/>
      <c r="B1" s="86"/>
      <c r="C1" s="86"/>
      <c r="D1" s="86"/>
      <c r="E1" s="86"/>
      <c r="F1" s="86"/>
      <c r="G1" s="86"/>
      <c r="H1" s="86"/>
      <c r="I1" s="86"/>
      <c r="J1" s="86"/>
      <c r="K1" s="86"/>
    </row>
    <row r="2" spans="1:11" ht="14.4" x14ac:dyDescent="0.3">
      <c r="A2" s="253" t="s">
        <v>326</v>
      </c>
      <c r="B2" s="253" t="s">
        <v>327</v>
      </c>
      <c r="C2" s="253" t="s">
        <v>328</v>
      </c>
      <c r="D2" s="254" t="s">
        <v>329</v>
      </c>
      <c r="E2" s="200"/>
      <c r="F2" s="253" t="s">
        <v>330</v>
      </c>
      <c r="G2" s="86"/>
      <c r="H2" s="86"/>
      <c r="I2" s="86"/>
      <c r="J2" s="86"/>
      <c r="K2" s="86"/>
    </row>
    <row r="3" spans="1:11" ht="69" x14ac:dyDescent="0.3">
      <c r="A3" s="252"/>
      <c r="B3" s="252"/>
      <c r="C3" s="252"/>
      <c r="D3" s="95" t="s">
        <v>331</v>
      </c>
      <c r="E3" s="95" t="s">
        <v>332</v>
      </c>
      <c r="F3" s="252"/>
      <c r="G3" s="86"/>
      <c r="H3" s="86"/>
      <c r="I3" s="86"/>
      <c r="J3" s="86"/>
      <c r="K3" s="86"/>
    </row>
    <row r="4" spans="1:11" ht="103.5" customHeight="1" x14ac:dyDescent="0.3">
      <c r="A4" s="96" t="s">
        <v>333</v>
      </c>
      <c r="B4" s="250" t="s">
        <v>334</v>
      </c>
      <c r="C4" s="97" t="s">
        <v>335</v>
      </c>
      <c r="D4" s="96">
        <v>30</v>
      </c>
      <c r="E4" s="96">
        <v>70</v>
      </c>
      <c r="F4" s="98" t="s">
        <v>336</v>
      </c>
      <c r="G4" s="86"/>
      <c r="H4" s="86"/>
      <c r="I4" s="86"/>
      <c r="J4" s="86"/>
      <c r="K4" s="86"/>
    </row>
    <row r="5" spans="1:11" ht="123" customHeight="1" x14ac:dyDescent="0.3">
      <c r="A5" s="99" t="s">
        <v>337</v>
      </c>
      <c r="B5" s="251"/>
      <c r="C5" s="97" t="s">
        <v>338</v>
      </c>
      <c r="D5" s="96">
        <v>30</v>
      </c>
      <c r="E5" s="96">
        <v>68.599999999999994</v>
      </c>
      <c r="F5" s="98" t="s">
        <v>339</v>
      </c>
      <c r="G5" s="86"/>
      <c r="H5" s="86"/>
      <c r="I5" s="86"/>
      <c r="J5" s="86"/>
      <c r="K5" s="86"/>
    </row>
    <row r="6" spans="1:11" ht="134.25" customHeight="1" x14ac:dyDescent="0.3">
      <c r="A6" s="96" t="s">
        <v>340</v>
      </c>
      <c r="B6" s="252"/>
      <c r="C6" s="100" t="s">
        <v>341</v>
      </c>
      <c r="D6" s="101">
        <v>30</v>
      </c>
      <c r="E6" s="101">
        <v>68.599999999999994</v>
      </c>
      <c r="F6" s="100" t="s">
        <v>342</v>
      </c>
      <c r="G6" s="86"/>
      <c r="H6" s="86"/>
      <c r="I6" s="86"/>
      <c r="J6" s="86"/>
      <c r="K6" s="86"/>
    </row>
    <row r="7" spans="1:11" ht="96" customHeight="1" x14ac:dyDescent="0.3">
      <c r="A7" s="99" t="s">
        <v>343</v>
      </c>
      <c r="B7" s="96" t="s">
        <v>344</v>
      </c>
      <c r="C7" s="96" t="s">
        <v>344</v>
      </c>
      <c r="D7" s="96">
        <v>30</v>
      </c>
      <c r="E7" s="96">
        <v>68.459999999999994</v>
      </c>
      <c r="F7" s="97"/>
      <c r="G7" s="86"/>
      <c r="H7" s="86"/>
      <c r="I7" s="86"/>
      <c r="J7" s="86"/>
      <c r="K7" s="86"/>
    </row>
    <row r="8" spans="1:11" ht="14.4" x14ac:dyDescent="0.3">
      <c r="A8" s="94"/>
      <c r="B8" s="86"/>
      <c r="C8" s="86"/>
      <c r="D8" s="86"/>
      <c r="E8" s="86"/>
      <c r="F8" s="86"/>
      <c r="G8" s="86"/>
      <c r="H8" s="86"/>
      <c r="I8" s="86"/>
      <c r="J8" s="86"/>
      <c r="K8" s="86"/>
    </row>
    <row r="9" spans="1:11" ht="14.4" x14ac:dyDescent="0.3">
      <c r="A9" s="94"/>
      <c r="B9" s="86"/>
      <c r="C9" s="86"/>
      <c r="D9" s="86"/>
      <c r="E9" s="86"/>
      <c r="F9" s="86"/>
      <c r="G9" s="86"/>
      <c r="H9" s="86"/>
      <c r="I9" s="86"/>
      <c r="J9" s="86"/>
      <c r="K9" s="86"/>
    </row>
    <row r="10" spans="1:11" ht="14.4" x14ac:dyDescent="0.3">
      <c r="A10" s="94"/>
      <c r="B10" s="86"/>
      <c r="C10" s="86"/>
      <c r="D10" s="86"/>
      <c r="E10" s="86"/>
      <c r="F10" s="86"/>
      <c r="G10" s="86"/>
      <c r="H10" s="86"/>
      <c r="I10" s="86"/>
      <c r="J10" s="86"/>
      <c r="K10" s="86"/>
    </row>
    <row r="11" spans="1:11" ht="14.4" x14ac:dyDescent="0.3">
      <c r="A11" s="94"/>
      <c r="B11" s="86"/>
      <c r="C11" s="86"/>
      <c r="D11" s="86"/>
      <c r="E11" s="86"/>
      <c r="F11" s="86"/>
      <c r="G11" s="86"/>
      <c r="H11" s="86"/>
      <c r="I11" s="86"/>
      <c r="J11" s="86"/>
      <c r="K11" s="86"/>
    </row>
    <row r="12" spans="1:11" ht="14.4" x14ac:dyDescent="0.3">
      <c r="A12" s="94"/>
      <c r="B12" s="86"/>
      <c r="C12" s="86"/>
      <c r="D12" s="86"/>
      <c r="E12" s="86"/>
      <c r="F12" s="86"/>
      <c r="G12" s="86"/>
      <c r="H12" s="86"/>
      <c r="I12" s="86"/>
      <c r="J12" s="86"/>
      <c r="K12" s="86"/>
    </row>
    <row r="13" spans="1:11" ht="14.4" x14ac:dyDescent="0.3">
      <c r="A13" s="94"/>
      <c r="B13" s="86"/>
      <c r="C13" s="86"/>
      <c r="D13" s="86"/>
      <c r="E13" s="86"/>
      <c r="F13" s="86"/>
      <c r="G13" s="86"/>
      <c r="H13" s="86"/>
      <c r="I13" s="86"/>
      <c r="J13" s="86"/>
      <c r="K13" s="86"/>
    </row>
    <row r="14" spans="1:11" ht="14.4" x14ac:dyDescent="0.3">
      <c r="A14" s="94"/>
      <c r="B14" s="86"/>
      <c r="C14" s="86"/>
      <c r="D14" s="86"/>
      <c r="E14" s="86"/>
      <c r="F14" s="86"/>
      <c r="G14" s="86"/>
      <c r="H14" s="86"/>
      <c r="I14" s="86"/>
      <c r="J14" s="86"/>
      <c r="K14" s="86"/>
    </row>
    <row r="15" spans="1:11" ht="14.4" x14ac:dyDescent="0.3">
      <c r="A15" s="94"/>
      <c r="B15" s="86"/>
      <c r="C15" s="86"/>
      <c r="D15" s="86"/>
      <c r="E15" s="86"/>
      <c r="F15" s="86"/>
      <c r="G15" s="86"/>
      <c r="H15" s="86"/>
      <c r="I15" s="86"/>
      <c r="J15" s="86"/>
      <c r="K15" s="86"/>
    </row>
    <row r="16" spans="1:11" ht="14.4" x14ac:dyDescent="0.3">
      <c r="A16" s="94"/>
      <c r="B16" s="86"/>
      <c r="C16" s="86"/>
      <c r="D16" s="86"/>
      <c r="E16" s="86"/>
      <c r="F16" s="86"/>
      <c r="G16" s="86"/>
      <c r="H16" s="86"/>
      <c r="I16" s="86"/>
      <c r="J16" s="86"/>
      <c r="K16" s="86"/>
    </row>
    <row r="17" spans="1:11" ht="14.4" x14ac:dyDescent="0.3">
      <c r="A17" s="94"/>
      <c r="B17" s="86"/>
      <c r="C17" s="86"/>
      <c r="D17" s="86"/>
      <c r="E17" s="86"/>
      <c r="F17" s="86"/>
      <c r="G17" s="86"/>
      <c r="H17" s="86"/>
      <c r="I17" s="86"/>
      <c r="J17" s="86"/>
      <c r="K17" s="86"/>
    </row>
    <row r="18" spans="1:11" ht="14.4" x14ac:dyDescent="0.3">
      <c r="A18" s="94"/>
      <c r="B18" s="86"/>
      <c r="C18" s="86"/>
      <c r="D18" s="86"/>
      <c r="E18" s="86"/>
      <c r="F18" s="86"/>
      <c r="G18" s="86"/>
      <c r="H18" s="86"/>
      <c r="I18" s="86"/>
      <c r="J18" s="86"/>
      <c r="K18" s="86"/>
    </row>
    <row r="19" spans="1:11" ht="14.4" x14ac:dyDescent="0.3">
      <c r="A19" s="94"/>
      <c r="B19" s="86"/>
      <c r="C19" s="86"/>
      <c r="D19" s="86"/>
      <c r="E19" s="86"/>
      <c r="F19" s="86"/>
      <c r="G19" s="86"/>
      <c r="H19" s="86"/>
      <c r="I19" s="86"/>
      <c r="J19" s="86"/>
      <c r="K19" s="86"/>
    </row>
    <row r="20" spans="1:11" ht="14.4" x14ac:dyDescent="0.3">
      <c r="A20" s="94"/>
      <c r="B20" s="86"/>
      <c r="C20" s="86"/>
      <c r="D20" s="86"/>
      <c r="E20" s="86"/>
      <c r="F20" s="86"/>
      <c r="G20" s="86"/>
      <c r="H20" s="86"/>
      <c r="I20" s="86"/>
      <c r="J20" s="86"/>
      <c r="K20" s="86"/>
    </row>
    <row r="21" spans="1:11" ht="15.75" customHeight="1" x14ac:dyDescent="0.3">
      <c r="A21" s="94"/>
      <c r="B21" s="86"/>
      <c r="C21" s="86"/>
      <c r="D21" s="86"/>
      <c r="E21" s="86"/>
      <c r="F21" s="86"/>
      <c r="G21" s="86"/>
      <c r="H21" s="86"/>
      <c r="I21" s="86"/>
      <c r="J21" s="86"/>
      <c r="K21" s="86"/>
    </row>
    <row r="22" spans="1:11" ht="15.75" customHeight="1" x14ac:dyDescent="0.3">
      <c r="A22" s="94"/>
      <c r="B22" s="86"/>
      <c r="C22" s="86"/>
      <c r="D22" s="86"/>
      <c r="E22" s="86"/>
      <c r="F22" s="86"/>
      <c r="G22" s="86"/>
      <c r="H22" s="86"/>
      <c r="I22" s="86"/>
      <c r="J22" s="86"/>
      <c r="K22" s="86"/>
    </row>
    <row r="23" spans="1:11" ht="15.75" customHeight="1" x14ac:dyDescent="0.3">
      <c r="A23" s="94"/>
      <c r="B23" s="86"/>
      <c r="C23" s="86"/>
      <c r="D23" s="86"/>
      <c r="E23" s="86"/>
      <c r="F23" s="86"/>
      <c r="G23" s="86"/>
      <c r="H23" s="86"/>
      <c r="I23" s="86"/>
      <c r="J23" s="86"/>
      <c r="K23" s="86"/>
    </row>
    <row r="24" spans="1:11" ht="15.75" customHeight="1" x14ac:dyDescent="0.3">
      <c r="A24" s="94"/>
      <c r="B24" s="86"/>
      <c r="C24" s="86"/>
      <c r="D24" s="86"/>
      <c r="E24" s="86"/>
      <c r="F24" s="86"/>
      <c r="G24" s="86"/>
      <c r="H24" s="86"/>
      <c r="I24" s="86"/>
      <c r="J24" s="86"/>
      <c r="K24" s="86"/>
    </row>
    <row r="25" spans="1:11" ht="15.75" customHeight="1" x14ac:dyDescent="0.3">
      <c r="A25" s="94"/>
      <c r="B25" s="86"/>
      <c r="C25" s="86"/>
      <c r="D25" s="86"/>
      <c r="E25" s="86"/>
      <c r="F25" s="86"/>
      <c r="G25" s="86"/>
      <c r="H25" s="86"/>
      <c r="I25" s="86"/>
      <c r="J25" s="86"/>
      <c r="K25" s="86"/>
    </row>
    <row r="26" spans="1:11" ht="15.75" customHeight="1" x14ac:dyDescent="0.3">
      <c r="A26" s="94"/>
      <c r="B26" s="86"/>
      <c r="C26" s="86"/>
      <c r="D26" s="86"/>
      <c r="E26" s="86"/>
      <c r="F26" s="86"/>
      <c r="G26" s="86"/>
      <c r="H26" s="86"/>
      <c r="I26" s="86"/>
      <c r="J26" s="86"/>
      <c r="K26" s="86"/>
    </row>
    <row r="27" spans="1:11" ht="15.75" customHeight="1" x14ac:dyDescent="0.3">
      <c r="A27" s="94"/>
      <c r="B27" s="86"/>
      <c r="C27" s="86"/>
      <c r="D27" s="86"/>
      <c r="E27" s="86"/>
      <c r="F27" s="86"/>
      <c r="G27" s="86"/>
      <c r="H27" s="86"/>
      <c r="I27" s="86"/>
      <c r="J27" s="86"/>
      <c r="K27" s="86"/>
    </row>
    <row r="28" spans="1:11" ht="15.75" customHeight="1" x14ac:dyDescent="0.3">
      <c r="A28" s="94"/>
      <c r="B28" s="86"/>
      <c r="C28" s="86"/>
      <c r="D28" s="86"/>
      <c r="E28" s="86"/>
      <c r="F28" s="86"/>
      <c r="G28" s="86"/>
      <c r="H28" s="86"/>
      <c r="I28" s="86"/>
      <c r="J28" s="86"/>
      <c r="K28" s="86"/>
    </row>
    <row r="29" spans="1:11" ht="15.75" customHeight="1" x14ac:dyDescent="0.3">
      <c r="A29" s="94"/>
      <c r="B29" s="86"/>
      <c r="C29" s="86"/>
      <c r="D29" s="86"/>
      <c r="E29" s="86"/>
      <c r="F29" s="86"/>
      <c r="G29" s="86"/>
      <c r="H29" s="86"/>
      <c r="I29" s="86"/>
      <c r="J29" s="86"/>
      <c r="K29" s="86"/>
    </row>
    <row r="30" spans="1:11" ht="15.75" customHeight="1" x14ac:dyDescent="0.3">
      <c r="A30" s="94"/>
      <c r="B30" s="86"/>
      <c r="C30" s="86"/>
      <c r="D30" s="86"/>
      <c r="E30" s="86"/>
      <c r="F30" s="86"/>
      <c r="G30" s="86"/>
      <c r="H30" s="86"/>
      <c r="I30" s="86"/>
      <c r="J30" s="86"/>
      <c r="K30" s="86"/>
    </row>
    <row r="31" spans="1:11" ht="15.75" customHeight="1" x14ac:dyDescent="0.3">
      <c r="A31" s="94"/>
      <c r="B31" s="86"/>
      <c r="C31" s="86"/>
      <c r="D31" s="86"/>
      <c r="E31" s="86"/>
      <c r="F31" s="86"/>
      <c r="G31" s="86"/>
      <c r="H31" s="86"/>
      <c r="I31" s="86"/>
      <c r="J31" s="86"/>
      <c r="K31" s="86"/>
    </row>
    <row r="32" spans="1:11" ht="15.75" customHeight="1" x14ac:dyDescent="0.3">
      <c r="A32" s="94"/>
      <c r="B32" s="86"/>
      <c r="C32" s="86"/>
      <c r="D32" s="86"/>
      <c r="E32" s="86"/>
      <c r="F32" s="86"/>
      <c r="G32" s="86"/>
      <c r="H32" s="86"/>
      <c r="I32" s="86"/>
      <c r="J32" s="86"/>
      <c r="K32" s="86"/>
    </row>
    <row r="33" spans="1:11" ht="15.75" customHeight="1" x14ac:dyDescent="0.3">
      <c r="A33" s="94"/>
      <c r="B33" s="86"/>
      <c r="C33" s="86"/>
      <c r="D33" s="86"/>
      <c r="E33" s="86"/>
      <c r="F33" s="86"/>
      <c r="G33" s="86"/>
      <c r="H33" s="86"/>
      <c r="I33" s="86"/>
      <c r="J33" s="86"/>
      <c r="K33" s="86"/>
    </row>
    <row r="34" spans="1:11" ht="15.75" customHeight="1" x14ac:dyDescent="0.3">
      <c r="A34" s="94"/>
      <c r="B34" s="86"/>
      <c r="C34" s="86"/>
      <c r="D34" s="86"/>
      <c r="E34" s="86"/>
      <c r="F34" s="86"/>
      <c r="G34" s="86"/>
      <c r="H34" s="86"/>
      <c r="I34" s="86"/>
      <c r="J34" s="86"/>
      <c r="K34" s="86"/>
    </row>
    <row r="35" spans="1:11" ht="15.75" customHeight="1" x14ac:dyDescent="0.3">
      <c r="A35" s="94"/>
      <c r="B35" s="86"/>
      <c r="C35" s="86"/>
      <c r="D35" s="86"/>
      <c r="E35" s="86"/>
      <c r="F35" s="86"/>
      <c r="G35" s="86"/>
      <c r="H35" s="86"/>
      <c r="I35" s="86"/>
      <c r="J35" s="86"/>
      <c r="K35" s="86"/>
    </row>
    <row r="36" spans="1:11" ht="15.75" customHeight="1" x14ac:dyDescent="0.3">
      <c r="A36" s="94"/>
      <c r="B36" s="86"/>
      <c r="C36" s="86"/>
      <c r="D36" s="86"/>
      <c r="E36" s="86"/>
      <c r="F36" s="86"/>
      <c r="G36" s="86"/>
      <c r="H36" s="86"/>
      <c r="I36" s="86"/>
      <c r="J36" s="86"/>
      <c r="K36" s="86"/>
    </row>
    <row r="37" spans="1:11" ht="15.75" customHeight="1" x14ac:dyDescent="0.3">
      <c r="A37" s="94"/>
      <c r="B37" s="86"/>
      <c r="C37" s="86"/>
      <c r="D37" s="86"/>
      <c r="E37" s="86"/>
      <c r="F37" s="86"/>
      <c r="G37" s="86"/>
      <c r="H37" s="86"/>
      <c r="I37" s="86"/>
      <c r="J37" s="86"/>
      <c r="K37" s="86"/>
    </row>
    <row r="38" spans="1:11" ht="15.75" customHeight="1" x14ac:dyDescent="0.3">
      <c r="A38" s="94"/>
      <c r="B38" s="86"/>
      <c r="C38" s="86"/>
      <c r="D38" s="86"/>
      <c r="E38" s="86"/>
      <c r="F38" s="86"/>
      <c r="G38" s="86"/>
      <c r="H38" s="86"/>
      <c r="I38" s="86"/>
      <c r="J38" s="86"/>
      <c r="K38" s="86"/>
    </row>
    <row r="39" spans="1:11" ht="15.75" customHeight="1" x14ac:dyDescent="0.3">
      <c r="A39" s="94"/>
      <c r="B39" s="86"/>
      <c r="C39" s="86"/>
      <c r="D39" s="86"/>
      <c r="E39" s="86"/>
      <c r="F39" s="86"/>
      <c r="G39" s="86"/>
      <c r="H39" s="86"/>
      <c r="I39" s="86"/>
      <c r="J39" s="86"/>
      <c r="K39" s="86"/>
    </row>
    <row r="40" spans="1:11" ht="15.75" customHeight="1" x14ac:dyDescent="0.3">
      <c r="A40" s="94"/>
      <c r="B40" s="86"/>
      <c r="C40" s="86"/>
      <c r="D40" s="86"/>
      <c r="E40" s="86"/>
      <c r="F40" s="86"/>
      <c r="G40" s="86"/>
      <c r="H40" s="86"/>
      <c r="I40" s="86"/>
      <c r="J40" s="86"/>
      <c r="K40" s="86"/>
    </row>
    <row r="41" spans="1:11" ht="15.75" customHeight="1" x14ac:dyDescent="0.3">
      <c r="A41" s="94"/>
      <c r="B41" s="86"/>
      <c r="C41" s="86"/>
      <c r="D41" s="86"/>
      <c r="E41" s="86"/>
      <c r="F41" s="86"/>
      <c r="G41" s="86"/>
      <c r="H41" s="86"/>
      <c r="I41" s="86"/>
      <c r="J41" s="86"/>
      <c r="K41" s="86"/>
    </row>
    <row r="42" spans="1:11" ht="15.75" customHeight="1" x14ac:dyDescent="0.3">
      <c r="A42" s="94"/>
      <c r="B42" s="86"/>
      <c r="C42" s="86"/>
      <c r="D42" s="86"/>
      <c r="E42" s="86"/>
      <c r="F42" s="86"/>
      <c r="G42" s="86"/>
      <c r="H42" s="86"/>
      <c r="I42" s="86"/>
      <c r="J42" s="86"/>
      <c r="K42" s="86"/>
    </row>
    <row r="43" spans="1:11" ht="15.75" customHeight="1" x14ac:dyDescent="0.3">
      <c r="A43" s="94"/>
      <c r="B43" s="86"/>
      <c r="C43" s="86"/>
      <c r="D43" s="86"/>
      <c r="E43" s="86"/>
      <c r="F43" s="86"/>
      <c r="G43" s="86"/>
      <c r="H43" s="86"/>
      <c r="I43" s="86"/>
      <c r="J43" s="86"/>
      <c r="K43" s="86"/>
    </row>
    <row r="44" spans="1:11" ht="15.75" customHeight="1" x14ac:dyDescent="0.3">
      <c r="A44" s="94"/>
      <c r="B44" s="86"/>
      <c r="C44" s="86"/>
      <c r="D44" s="86"/>
      <c r="E44" s="86"/>
      <c r="F44" s="86"/>
      <c r="G44" s="86"/>
      <c r="H44" s="86"/>
      <c r="I44" s="86"/>
      <c r="J44" s="86"/>
      <c r="K44" s="86"/>
    </row>
    <row r="45" spans="1:11" ht="15.75" customHeight="1" x14ac:dyDescent="0.3">
      <c r="A45" s="94"/>
      <c r="B45" s="86"/>
      <c r="C45" s="86"/>
      <c r="D45" s="86"/>
      <c r="E45" s="86"/>
      <c r="F45" s="86"/>
      <c r="G45" s="86"/>
      <c r="H45" s="86"/>
      <c r="I45" s="86"/>
      <c r="J45" s="86"/>
      <c r="K45" s="86"/>
    </row>
    <row r="46" spans="1:11" ht="15.75" customHeight="1" x14ac:dyDescent="0.3">
      <c r="A46" s="94"/>
      <c r="B46" s="86"/>
      <c r="C46" s="86"/>
      <c r="D46" s="86"/>
      <c r="E46" s="86"/>
      <c r="F46" s="86"/>
      <c r="G46" s="86"/>
      <c r="H46" s="86"/>
      <c r="I46" s="86"/>
      <c r="J46" s="86"/>
      <c r="K46" s="86"/>
    </row>
    <row r="47" spans="1:11" ht="15.75" customHeight="1" x14ac:dyDescent="0.3">
      <c r="A47" s="94"/>
      <c r="B47" s="86"/>
      <c r="C47" s="86"/>
      <c r="D47" s="86"/>
      <c r="E47" s="86"/>
      <c r="F47" s="86"/>
      <c r="G47" s="86"/>
      <c r="H47" s="86"/>
      <c r="I47" s="86"/>
      <c r="J47" s="86"/>
      <c r="K47" s="86"/>
    </row>
    <row r="48" spans="1:11" ht="15.75" customHeight="1" x14ac:dyDescent="0.3">
      <c r="A48" s="94"/>
      <c r="B48" s="86"/>
      <c r="C48" s="86"/>
      <c r="D48" s="86"/>
      <c r="E48" s="86"/>
      <c r="F48" s="86"/>
      <c r="G48" s="86"/>
      <c r="H48" s="86"/>
      <c r="I48" s="86"/>
      <c r="J48" s="86"/>
      <c r="K48" s="86"/>
    </row>
    <row r="49" spans="1:11" ht="15.75" customHeight="1" x14ac:dyDescent="0.3">
      <c r="A49" s="94"/>
      <c r="B49" s="86"/>
      <c r="C49" s="86"/>
      <c r="D49" s="86"/>
      <c r="E49" s="86"/>
      <c r="F49" s="86"/>
      <c r="G49" s="86"/>
      <c r="H49" s="86"/>
      <c r="I49" s="86"/>
      <c r="J49" s="86"/>
      <c r="K49" s="86"/>
    </row>
    <row r="50" spans="1:11" ht="15.75" customHeight="1" x14ac:dyDescent="0.3">
      <c r="A50" s="94"/>
      <c r="B50" s="86"/>
      <c r="C50" s="86"/>
      <c r="D50" s="86"/>
      <c r="E50" s="86"/>
      <c r="F50" s="86"/>
      <c r="G50" s="86"/>
      <c r="H50" s="86"/>
      <c r="I50" s="86"/>
      <c r="J50" s="86"/>
      <c r="K50" s="86"/>
    </row>
    <row r="51" spans="1:11" ht="15.75" customHeight="1" x14ac:dyDescent="0.3">
      <c r="A51" s="94"/>
      <c r="B51" s="86"/>
      <c r="C51" s="86"/>
      <c r="D51" s="86"/>
      <c r="E51" s="86"/>
      <c r="F51" s="86"/>
      <c r="G51" s="86"/>
      <c r="H51" s="86"/>
      <c r="I51" s="86"/>
      <c r="J51" s="86"/>
      <c r="K51" s="86"/>
    </row>
    <row r="52" spans="1:11" ht="15.75" customHeight="1" x14ac:dyDescent="0.3">
      <c r="A52" s="94"/>
      <c r="B52" s="86"/>
      <c r="C52" s="86"/>
      <c r="D52" s="86"/>
      <c r="E52" s="86"/>
      <c r="F52" s="86"/>
      <c r="G52" s="86"/>
      <c r="H52" s="86"/>
      <c r="I52" s="86"/>
      <c r="J52" s="86"/>
      <c r="K52" s="86"/>
    </row>
    <row r="53" spans="1:11" ht="15.75" customHeight="1" x14ac:dyDescent="0.3">
      <c r="A53" s="94"/>
      <c r="B53" s="86"/>
      <c r="C53" s="86"/>
      <c r="D53" s="86"/>
      <c r="E53" s="86"/>
      <c r="F53" s="86"/>
      <c r="G53" s="86"/>
      <c r="H53" s="86"/>
      <c r="I53" s="86"/>
      <c r="J53" s="86"/>
      <c r="K53" s="86"/>
    </row>
    <row r="54" spans="1:11" ht="15.75" customHeight="1" x14ac:dyDescent="0.3">
      <c r="A54" s="94"/>
      <c r="B54" s="86"/>
      <c r="C54" s="86"/>
      <c r="D54" s="86"/>
      <c r="E54" s="86"/>
      <c r="F54" s="86"/>
      <c r="G54" s="86"/>
      <c r="H54" s="86"/>
      <c r="I54" s="86"/>
      <c r="J54" s="86"/>
      <c r="K54" s="86"/>
    </row>
    <row r="55" spans="1:11" ht="15.75" customHeight="1" x14ac:dyDescent="0.3">
      <c r="A55" s="94"/>
      <c r="B55" s="86"/>
      <c r="C55" s="86"/>
      <c r="D55" s="86"/>
      <c r="E55" s="86"/>
      <c r="F55" s="86"/>
      <c r="G55" s="86"/>
      <c r="H55" s="86"/>
      <c r="I55" s="86"/>
      <c r="J55" s="86"/>
      <c r="K55" s="86"/>
    </row>
    <row r="56" spans="1:11" ht="15.75" customHeight="1" x14ac:dyDescent="0.3">
      <c r="A56" s="94"/>
      <c r="B56" s="86"/>
      <c r="C56" s="86"/>
      <c r="D56" s="86"/>
      <c r="E56" s="86"/>
      <c r="F56" s="86"/>
      <c r="G56" s="86"/>
      <c r="H56" s="86"/>
      <c r="I56" s="86"/>
      <c r="J56" s="86"/>
      <c r="K56" s="86"/>
    </row>
    <row r="57" spans="1:11" ht="15.75" customHeight="1" x14ac:dyDescent="0.3">
      <c r="A57" s="94"/>
      <c r="B57" s="86"/>
      <c r="C57" s="86"/>
      <c r="D57" s="86"/>
      <c r="E57" s="86"/>
      <c r="F57" s="86"/>
      <c r="G57" s="86"/>
      <c r="H57" s="86"/>
      <c r="I57" s="86"/>
      <c r="J57" s="86"/>
      <c r="K57" s="86"/>
    </row>
    <row r="58" spans="1:11" ht="15.75" customHeight="1" x14ac:dyDescent="0.3">
      <c r="A58" s="94"/>
      <c r="B58" s="86"/>
      <c r="C58" s="86"/>
      <c r="D58" s="86"/>
      <c r="E58" s="86"/>
      <c r="F58" s="86"/>
      <c r="G58" s="86"/>
      <c r="H58" s="86"/>
      <c r="I58" s="86"/>
      <c r="J58" s="86"/>
      <c r="K58" s="86"/>
    </row>
    <row r="59" spans="1:11" ht="15.75" customHeight="1" x14ac:dyDescent="0.3">
      <c r="A59" s="94"/>
      <c r="B59" s="86"/>
      <c r="C59" s="86"/>
      <c r="D59" s="86"/>
      <c r="E59" s="86"/>
      <c r="F59" s="86"/>
      <c r="G59" s="86"/>
      <c r="H59" s="86"/>
      <c r="I59" s="86"/>
      <c r="J59" s="86"/>
      <c r="K59" s="86"/>
    </row>
    <row r="60" spans="1:11" ht="15.75" customHeight="1" x14ac:dyDescent="0.3">
      <c r="A60" s="94"/>
      <c r="B60" s="86"/>
      <c r="C60" s="86"/>
      <c r="D60" s="86"/>
      <c r="E60" s="86"/>
      <c r="F60" s="86"/>
      <c r="G60" s="86"/>
      <c r="H60" s="86"/>
      <c r="I60" s="86"/>
      <c r="J60" s="86"/>
      <c r="K60" s="86"/>
    </row>
    <row r="61" spans="1:11" ht="15.75" customHeight="1" x14ac:dyDescent="0.3">
      <c r="A61" s="94"/>
      <c r="B61" s="86"/>
      <c r="C61" s="86"/>
      <c r="D61" s="86"/>
      <c r="E61" s="86"/>
      <c r="F61" s="86"/>
      <c r="G61" s="86"/>
      <c r="H61" s="86"/>
      <c r="I61" s="86"/>
      <c r="J61" s="86"/>
      <c r="K61" s="86"/>
    </row>
    <row r="62" spans="1:11" ht="15.75" customHeight="1" x14ac:dyDescent="0.3">
      <c r="A62" s="94"/>
      <c r="B62" s="86"/>
      <c r="C62" s="86"/>
      <c r="D62" s="86"/>
      <c r="E62" s="86"/>
      <c r="F62" s="86"/>
      <c r="G62" s="86"/>
      <c r="H62" s="86"/>
      <c r="I62" s="86"/>
      <c r="J62" s="86"/>
      <c r="K62" s="86"/>
    </row>
    <row r="63" spans="1:11" ht="15.75" customHeight="1" x14ac:dyDescent="0.3">
      <c r="A63" s="94"/>
      <c r="B63" s="86"/>
      <c r="C63" s="86"/>
      <c r="D63" s="86"/>
      <c r="E63" s="86"/>
      <c r="F63" s="86"/>
      <c r="G63" s="86"/>
      <c r="H63" s="86"/>
      <c r="I63" s="86"/>
      <c r="J63" s="86"/>
      <c r="K63" s="86"/>
    </row>
    <row r="64" spans="1:11" ht="15.75" customHeight="1" x14ac:dyDescent="0.3">
      <c r="A64" s="94"/>
      <c r="B64" s="86"/>
      <c r="C64" s="86"/>
      <c r="D64" s="86"/>
      <c r="E64" s="86"/>
      <c r="F64" s="86"/>
      <c r="G64" s="86"/>
      <c r="H64" s="86"/>
      <c r="I64" s="86"/>
      <c r="J64" s="86"/>
      <c r="K64" s="86"/>
    </row>
    <row r="65" spans="1:11" ht="15.75" customHeight="1" x14ac:dyDescent="0.3">
      <c r="A65" s="94"/>
      <c r="B65" s="86"/>
      <c r="C65" s="86"/>
      <c r="D65" s="86"/>
      <c r="E65" s="86"/>
      <c r="F65" s="86"/>
      <c r="G65" s="86"/>
      <c r="H65" s="86"/>
      <c r="I65" s="86"/>
      <c r="J65" s="86"/>
      <c r="K65" s="86"/>
    </row>
    <row r="66" spans="1:11" ht="15.75" customHeight="1" x14ac:dyDescent="0.3">
      <c r="A66" s="94"/>
      <c r="B66" s="86"/>
      <c r="C66" s="86"/>
      <c r="D66" s="86"/>
      <c r="E66" s="86"/>
      <c r="F66" s="86"/>
      <c r="G66" s="86"/>
      <c r="H66" s="86"/>
      <c r="I66" s="86"/>
      <c r="J66" s="86"/>
      <c r="K66" s="86"/>
    </row>
    <row r="67" spans="1:11" ht="15.75" customHeight="1" x14ac:dyDescent="0.3">
      <c r="A67" s="94"/>
      <c r="B67" s="86"/>
      <c r="C67" s="86"/>
      <c r="D67" s="86"/>
      <c r="E67" s="86"/>
      <c r="F67" s="86"/>
      <c r="G67" s="86"/>
      <c r="H67" s="86"/>
      <c r="I67" s="86"/>
      <c r="J67" s="86"/>
      <c r="K67" s="86"/>
    </row>
    <row r="68" spans="1:11" ht="15.75" customHeight="1" x14ac:dyDescent="0.3">
      <c r="A68" s="94"/>
      <c r="B68" s="86"/>
      <c r="C68" s="86"/>
      <c r="D68" s="86"/>
      <c r="E68" s="86"/>
      <c r="F68" s="86"/>
      <c r="G68" s="86"/>
      <c r="H68" s="86"/>
      <c r="I68" s="86"/>
      <c r="J68" s="86"/>
      <c r="K68" s="86"/>
    </row>
    <row r="69" spans="1:11" ht="15.75" customHeight="1" x14ac:dyDescent="0.3">
      <c r="A69" s="94"/>
      <c r="B69" s="86"/>
      <c r="C69" s="86"/>
      <c r="D69" s="86"/>
      <c r="E69" s="86"/>
      <c r="F69" s="86"/>
      <c r="G69" s="86"/>
      <c r="H69" s="86"/>
      <c r="I69" s="86"/>
      <c r="J69" s="86"/>
      <c r="K69" s="86"/>
    </row>
    <row r="70" spans="1:11" ht="15.75" customHeight="1" x14ac:dyDescent="0.3">
      <c r="A70" s="94"/>
      <c r="B70" s="86"/>
      <c r="C70" s="86"/>
      <c r="D70" s="86"/>
      <c r="E70" s="86"/>
      <c r="F70" s="86"/>
      <c r="G70" s="86"/>
      <c r="H70" s="86"/>
      <c r="I70" s="86"/>
      <c r="J70" s="86"/>
      <c r="K70" s="86"/>
    </row>
    <row r="71" spans="1:11" ht="15.75" customHeight="1" x14ac:dyDescent="0.3">
      <c r="A71" s="94"/>
      <c r="B71" s="86"/>
      <c r="C71" s="86"/>
      <c r="D71" s="86"/>
      <c r="E71" s="86"/>
      <c r="F71" s="86"/>
      <c r="G71" s="86"/>
      <c r="H71" s="86"/>
      <c r="I71" s="86"/>
      <c r="J71" s="86"/>
      <c r="K71" s="86"/>
    </row>
    <row r="72" spans="1:11" ht="15.75" customHeight="1" x14ac:dyDescent="0.3">
      <c r="A72" s="94"/>
      <c r="B72" s="86"/>
      <c r="C72" s="86"/>
      <c r="D72" s="86"/>
      <c r="E72" s="86"/>
      <c r="F72" s="86"/>
      <c r="G72" s="86"/>
      <c r="H72" s="86"/>
      <c r="I72" s="86"/>
      <c r="J72" s="86"/>
      <c r="K72" s="86"/>
    </row>
    <row r="73" spans="1:11" ht="15.75" customHeight="1" x14ac:dyDescent="0.3">
      <c r="A73" s="94"/>
      <c r="B73" s="86"/>
      <c r="C73" s="86"/>
      <c r="D73" s="86"/>
      <c r="E73" s="86"/>
      <c r="F73" s="86"/>
      <c r="G73" s="86"/>
      <c r="H73" s="86"/>
      <c r="I73" s="86"/>
      <c r="J73" s="86"/>
      <c r="K73" s="86"/>
    </row>
    <row r="74" spans="1:11" ht="15.75" customHeight="1" x14ac:dyDescent="0.3">
      <c r="A74" s="94"/>
      <c r="B74" s="86"/>
      <c r="C74" s="86"/>
      <c r="D74" s="86"/>
      <c r="E74" s="86"/>
      <c r="F74" s="86"/>
      <c r="G74" s="86"/>
      <c r="H74" s="86"/>
      <c r="I74" s="86"/>
      <c r="J74" s="86"/>
      <c r="K74" s="86"/>
    </row>
    <row r="75" spans="1:11" ht="15.75" customHeight="1" x14ac:dyDescent="0.3">
      <c r="A75" s="94"/>
      <c r="B75" s="86"/>
      <c r="C75" s="86"/>
      <c r="D75" s="86"/>
      <c r="E75" s="86"/>
      <c r="F75" s="86"/>
      <c r="G75" s="86"/>
      <c r="H75" s="86"/>
      <c r="I75" s="86"/>
      <c r="J75" s="86"/>
      <c r="K75" s="86"/>
    </row>
    <row r="76" spans="1:11" ht="15.75" customHeight="1" x14ac:dyDescent="0.3">
      <c r="A76" s="94"/>
      <c r="B76" s="86"/>
      <c r="C76" s="86"/>
      <c r="D76" s="86"/>
      <c r="E76" s="86"/>
      <c r="F76" s="86"/>
      <c r="G76" s="86"/>
      <c r="H76" s="86"/>
      <c r="I76" s="86"/>
      <c r="J76" s="86"/>
      <c r="K76" s="86"/>
    </row>
    <row r="77" spans="1:11" ht="15.75" customHeight="1" x14ac:dyDescent="0.3">
      <c r="A77" s="94"/>
      <c r="B77" s="86"/>
      <c r="C77" s="86"/>
      <c r="D77" s="86"/>
      <c r="E77" s="86"/>
      <c r="F77" s="86"/>
      <c r="G77" s="86"/>
      <c r="H77" s="86"/>
      <c r="I77" s="86"/>
      <c r="J77" s="86"/>
      <c r="K77" s="86"/>
    </row>
    <row r="78" spans="1:11" ht="15.75" customHeight="1" x14ac:dyDescent="0.3">
      <c r="A78" s="94"/>
      <c r="B78" s="86"/>
      <c r="C78" s="86"/>
      <c r="D78" s="86"/>
      <c r="E78" s="86"/>
      <c r="F78" s="86"/>
      <c r="G78" s="86"/>
      <c r="H78" s="86"/>
      <c r="I78" s="86"/>
      <c r="J78" s="86"/>
      <c r="K78" s="86"/>
    </row>
    <row r="79" spans="1:11" ht="15.75" customHeight="1" x14ac:dyDescent="0.3">
      <c r="A79" s="94"/>
      <c r="B79" s="86"/>
      <c r="C79" s="86"/>
      <c r="D79" s="86"/>
      <c r="E79" s="86"/>
      <c r="F79" s="86"/>
      <c r="G79" s="86"/>
      <c r="H79" s="86"/>
      <c r="I79" s="86"/>
      <c r="J79" s="86"/>
      <c r="K79" s="86"/>
    </row>
    <row r="80" spans="1:11" ht="15.75" customHeight="1" x14ac:dyDescent="0.3">
      <c r="A80" s="94"/>
      <c r="B80" s="86"/>
      <c r="C80" s="86"/>
      <c r="D80" s="86"/>
      <c r="E80" s="86"/>
      <c r="F80" s="86"/>
      <c r="G80" s="86"/>
      <c r="H80" s="86"/>
      <c r="I80" s="86"/>
      <c r="J80" s="86"/>
      <c r="K80" s="86"/>
    </row>
    <row r="81" spans="1:11" ht="15.75" customHeight="1" x14ac:dyDescent="0.3">
      <c r="A81" s="94"/>
      <c r="B81" s="86"/>
      <c r="C81" s="86"/>
      <c r="D81" s="86"/>
      <c r="E81" s="86"/>
      <c r="F81" s="86"/>
      <c r="G81" s="86"/>
      <c r="H81" s="86"/>
      <c r="I81" s="86"/>
      <c r="J81" s="86"/>
      <c r="K81" s="86"/>
    </row>
    <row r="82" spans="1:11" ht="15.75" customHeight="1" x14ac:dyDescent="0.3">
      <c r="A82" s="94"/>
      <c r="B82" s="86"/>
      <c r="C82" s="86"/>
      <c r="D82" s="86"/>
      <c r="E82" s="86"/>
      <c r="F82" s="86"/>
      <c r="G82" s="86"/>
      <c r="H82" s="86"/>
      <c r="I82" s="86"/>
      <c r="J82" s="86"/>
      <c r="K82" s="86"/>
    </row>
    <row r="83" spans="1:11" ht="15.75" customHeight="1" x14ac:dyDescent="0.3">
      <c r="A83" s="94"/>
      <c r="B83" s="86"/>
      <c r="C83" s="86"/>
      <c r="D83" s="86"/>
      <c r="E83" s="86"/>
      <c r="F83" s="86"/>
      <c r="G83" s="86"/>
      <c r="H83" s="86"/>
      <c r="I83" s="86"/>
      <c r="J83" s="86"/>
      <c r="K83" s="86"/>
    </row>
    <row r="84" spans="1:11" ht="15.75" customHeight="1" x14ac:dyDescent="0.3">
      <c r="A84" s="94"/>
      <c r="B84" s="86"/>
      <c r="C84" s="86"/>
      <c r="D84" s="86"/>
      <c r="E84" s="86"/>
      <c r="F84" s="86"/>
      <c r="G84" s="86"/>
      <c r="H84" s="86"/>
      <c r="I84" s="86"/>
      <c r="J84" s="86"/>
      <c r="K84" s="86"/>
    </row>
    <row r="85" spans="1:11" ht="15.75" customHeight="1" x14ac:dyDescent="0.3">
      <c r="A85" s="94"/>
      <c r="B85" s="86"/>
      <c r="C85" s="86"/>
      <c r="D85" s="86"/>
      <c r="E85" s="86"/>
      <c r="F85" s="86"/>
      <c r="G85" s="86"/>
      <c r="H85" s="86"/>
      <c r="I85" s="86"/>
      <c r="J85" s="86"/>
      <c r="K85" s="86"/>
    </row>
    <row r="86" spans="1:11" ht="15.75" customHeight="1" x14ac:dyDescent="0.3">
      <c r="A86" s="94"/>
      <c r="B86" s="86"/>
      <c r="C86" s="86"/>
      <c r="D86" s="86"/>
      <c r="E86" s="86"/>
      <c r="F86" s="86"/>
      <c r="G86" s="86"/>
      <c r="H86" s="86"/>
      <c r="I86" s="86"/>
      <c r="J86" s="86"/>
      <c r="K86" s="86"/>
    </row>
    <row r="87" spans="1:11" ht="15.75" customHeight="1" x14ac:dyDescent="0.3">
      <c r="A87" s="94"/>
      <c r="B87" s="86"/>
      <c r="C87" s="86"/>
      <c r="D87" s="86"/>
      <c r="E87" s="86"/>
      <c r="F87" s="86"/>
      <c r="G87" s="86"/>
      <c r="H87" s="86"/>
      <c r="I87" s="86"/>
      <c r="J87" s="86"/>
      <c r="K87" s="86"/>
    </row>
    <row r="88" spans="1:11" ht="15.75" customHeight="1" x14ac:dyDescent="0.3">
      <c r="A88" s="94"/>
      <c r="B88" s="86"/>
      <c r="C88" s="86"/>
      <c r="D88" s="86"/>
      <c r="E88" s="86"/>
      <c r="F88" s="86"/>
      <c r="G88" s="86"/>
      <c r="H88" s="86"/>
      <c r="I88" s="86"/>
      <c r="J88" s="86"/>
      <c r="K88" s="86"/>
    </row>
    <row r="89" spans="1:11" ht="15.75" customHeight="1" x14ac:dyDescent="0.3">
      <c r="A89" s="94"/>
      <c r="B89" s="86"/>
      <c r="C89" s="86"/>
      <c r="D89" s="86"/>
      <c r="E89" s="86"/>
      <c r="F89" s="86"/>
      <c r="G89" s="86"/>
      <c r="H89" s="86"/>
      <c r="I89" s="86"/>
      <c r="J89" s="86"/>
      <c r="K89" s="86"/>
    </row>
    <row r="90" spans="1:11" ht="15.75" customHeight="1" x14ac:dyDescent="0.3">
      <c r="A90" s="94"/>
      <c r="B90" s="86"/>
      <c r="C90" s="86"/>
      <c r="D90" s="86"/>
      <c r="E90" s="86"/>
      <c r="F90" s="86"/>
      <c r="G90" s="86"/>
      <c r="H90" s="86"/>
      <c r="I90" s="86"/>
      <c r="J90" s="86"/>
      <c r="K90" s="86"/>
    </row>
    <row r="91" spans="1:11" ht="15.75" customHeight="1" x14ac:dyDescent="0.3">
      <c r="A91" s="94"/>
      <c r="B91" s="86"/>
      <c r="C91" s="86"/>
      <c r="D91" s="86"/>
      <c r="E91" s="86"/>
      <c r="F91" s="86"/>
      <c r="G91" s="86"/>
      <c r="H91" s="86"/>
      <c r="I91" s="86"/>
      <c r="J91" s="86"/>
      <c r="K91" s="86"/>
    </row>
    <row r="92" spans="1:11" ht="15.75" customHeight="1" x14ac:dyDescent="0.3">
      <c r="A92" s="94"/>
      <c r="B92" s="86"/>
      <c r="C92" s="86"/>
      <c r="D92" s="86"/>
      <c r="E92" s="86"/>
      <c r="F92" s="86"/>
      <c r="G92" s="86"/>
      <c r="H92" s="86"/>
      <c r="I92" s="86"/>
      <c r="J92" s="86"/>
      <c r="K92" s="86"/>
    </row>
    <row r="93" spans="1:11" ht="15.75" customHeight="1" x14ac:dyDescent="0.3">
      <c r="A93" s="94"/>
      <c r="B93" s="86"/>
      <c r="C93" s="86"/>
      <c r="D93" s="86"/>
      <c r="E93" s="86"/>
      <c r="F93" s="86"/>
      <c r="G93" s="86"/>
      <c r="H93" s="86"/>
      <c r="I93" s="86"/>
      <c r="J93" s="86"/>
      <c r="K93" s="86"/>
    </row>
    <row r="94" spans="1:11" ht="15.75" customHeight="1" x14ac:dyDescent="0.3">
      <c r="A94" s="94"/>
      <c r="B94" s="86"/>
      <c r="C94" s="86"/>
      <c r="D94" s="86"/>
      <c r="E94" s="86"/>
      <c r="F94" s="86"/>
      <c r="G94" s="86"/>
      <c r="H94" s="86"/>
      <c r="I94" s="86"/>
      <c r="J94" s="86"/>
      <c r="K94" s="86"/>
    </row>
    <row r="95" spans="1:11" ht="15.75" customHeight="1" x14ac:dyDescent="0.3">
      <c r="A95" s="94"/>
      <c r="B95" s="86"/>
      <c r="C95" s="86"/>
      <c r="D95" s="86"/>
      <c r="E95" s="86"/>
      <c r="F95" s="86"/>
      <c r="G95" s="86"/>
      <c r="H95" s="86"/>
      <c r="I95" s="86"/>
      <c r="J95" s="86"/>
      <c r="K95" s="86"/>
    </row>
    <row r="96" spans="1:11" ht="15.75" customHeight="1" x14ac:dyDescent="0.3">
      <c r="A96" s="94"/>
      <c r="B96" s="86"/>
      <c r="C96" s="86"/>
      <c r="D96" s="86"/>
      <c r="E96" s="86"/>
      <c r="F96" s="86"/>
      <c r="G96" s="86"/>
      <c r="H96" s="86"/>
      <c r="I96" s="86"/>
      <c r="J96" s="86"/>
      <c r="K96" s="86"/>
    </row>
    <row r="97" spans="1:11" ht="15.75" customHeight="1" x14ac:dyDescent="0.3">
      <c r="A97" s="94"/>
      <c r="B97" s="86"/>
      <c r="C97" s="86"/>
      <c r="D97" s="86"/>
      <c r="E97" s="86"/>
      <c r="F97" s="86"/>
      <c r="G97" s="86"/>
      <c r="H97" s="86"/>
      <c r="I97" s="86"/>
      <c r="J97" s="86"/>
      <c r="K97" s="86"/>
    </row>
    <row r="98" spans="1:11" ht="15.75" customHeight="1" x14ac:dyDescent="0.3">
      <c r="A98" s="94"/>
      <c r="B98" s="86"/>
      <c r="C98" s="86"/>
      <c r="D98" s="86"/>
      <c r="E98" s="86"/>
      <c r="F98" s="86"/>
      <c r="G98" s="86"/>
      <c r="H98" s="86"/>
      <c r="I98" s="86"/>
      <c r="J98" s="86"/>
      <c r="K98" s="86"/>
    </row>
    <row r="99" spans="1:11" ht="15.75" customHeight="1" x14ac:dyDescent="0.3">
      <c r="A99" s="94"/>
      <c r="B99" s="86"/>
      <c r="C99" s="86"/>
      <c r="D99" s="86"/>
      <c r="E99" s="86"/>
      <c r="F99" s="86"/>
      <c r="G99" s="86"/>
      <c r="H99" s="86"/>
      <c r="I99" s="86"/>
      <c r="J99" s="86"/>
      <c r="K99" s="86"/>
    </row>
    <row r="100" spans="1:11" ht="15.75" customHeight="1" x14ac:dyDescent="0.3">
      <c r="A100" s="94"/>
      <c r="B100" s="86"/>
      <c r="C100" s="86"/>
      <c r="D100" s="86"/>
      <c r="E100" s="86"/>
      <c r="F100" s="86"/>
      <c r="G100" s="86"/>
      <c r="H100" s="86"/>
      <c r="I100" s="86"/>
      <c r="J100" s="86"/>
      <c r="K100" s="86"/>
    </row>
  </sheetData>
  <mergeCells count="6">
    <mergeCell ref="B4:B6"/>
    <mergeCell ref="A2:A3"/>
    <mergeCell ref="F2:F3"/>
    <mergeCell ref="D2:E2"/>
    <mergeCell ref="B2:B3"/>
    <mergeCell ref="C2:C3"/>
  </mergeCells>
  <pageMargins left="0.19685039370078741" right="0.19685039370078741" top="0.19685039370078741" bottom="0.19685039370078741" header="0" footer="0"/>
  <pageSetup paperSize="9" scale="9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BẢNG TÍNH ĐIỂM KPI (LĐB)</vt:lpstr>
      <vt:lpstr>BẢN TỰ ĐÁNH GIÁ (LĐB)</vt:lpstr>
      <vt:lpstr>1- DM SP CHUẨN</vt:lpstr>
      <vt:lpstr>2 - BẢNG TÍNH KPI </vt:lpstr>
      <vt:lpstr>3 - MẪU TỰ ĐÁNH GIÁ LD, QL</vt:lpstr>
      <vt:lpstr>BẢNG TÍNH ĐIỂM (2)</vt:lpstr>
      <vt:lpstr>ĐẢNG, ĐOÀN THỂ (2)</vt:lpstr>
      <vt:lpstr>BẢNG TÍNH ĐIỂM (3)</vt:lpstr>
      <vt:lpstr>ĐẢNG, ĐOÀN THỂ (3)</vt:lpstr>
      <vt:lpstr>Sheet1</vt:lpstr>
      <vt:lpstr>'1- DM SP CHUẨN'!_Hlk227065356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ASUS</cp:lastModifiedBy>
  <cp:lastPrinted>2026-07-03T05:04:51Z</cp:lastPrinted>
  <dcterms:created xsi:type="dcterms:W3CDTF">2026-06-07T16:41:29Z</dcterms:created>
  <dcterms:modified xsi:type="dcterms:W3CDTF">2026-09-08T07:39:33Z</dcterms:modified>
</cp:coreProperties>
</file>